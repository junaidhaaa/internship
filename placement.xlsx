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480" yWindow="345" windowWidth="19875" windowHeight="7725" activeTab="5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placement" sheetId="1" r:id="rId6"/>
    <sheet name="Sheet1" sheetId="2" r:id="rId7"/>
  </sheets>
  <calcPr calcId="144525"/>
  <pivotCaches>
    <pivotCache cacheId="3" r:id="rId8"/>
    <pivotCache cacheId="8" r:id="rId9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P5" i="2" l="1"/>
  <c r="M5" i="2"/>
  <c r="J5" i="2"/>
  <c r="G5" i="2"/>
  <c r="D5" i="2"/>
  <c r="A5" i="2"/>
</calcChain>
</file>

<file path=xl/sharedStrings.xml><?xml version="1.0" encoding="utf-8"?>
<sst xmlns="http://schemas.openxmlformats.org/spreadsheetml/2006/main" count="215" uniqueCount="83">
  <si>
    <t>Student_Name</t>
  </si>
  <si>
    <t>Department</t>
  </si>
  <si>
    <t>CGPA</t>
  </si>
  <si>
    <t>Placed</t>
  </si>
  <si>
    <t>Salary_LPA</t>
  </si>
  <si>
    <t>Company</t>
  </si>
  <si>
    <t>Arun</t>
  </si>
  <si>
    <t>CSE</t>
  </si>
  <si>
    <t>Yes</t>
  </si>
  <si>
    <t>TCS</t>
  </si>
  <si>
    <t>Meera</t>
  </si>
  <si>
    <t>IT</t>
  </si>
  <si>
    <t>Infosys</t>
  </si>
  <si>
    <t>Rahul</t>
  </si>
  <si>
    <t>ECE</t>
  </si>
  <si>
    <t>No</t>
  </si>
  <si>
    <t>None</t>
  </si>
  <si>
    <t>Sneha</t>
  </si>
  <si>
    <t>Amazon</t>
  </si>
  <si>
    <t>Vijay</t>
  </si>
  <si>
    <t>MECH</t>
  </si>
  <si>
    <t>L&amp;T</t>
  </si>
  <si>
    <t>Anjali</t>
  </si>
  <si>
    <t>Google</t>
  </si>
  <si>
    <t>Kiran</t>
  </si>
  <si>
    <t>Divya</t>
  </si>
  <si>
    <t>Wipro</t>
  </si>
  <si>
    <t>Ravi</t>
  </si>
  <si>
    <t>CIVIL</t>
  </si>
  <si>
    <t>Pooja</t>
  </si>
  <si>
    <t>Microsoft</t>
  </si>
  <si>
    <t>Suresh</t>
  </si>
  <si>
    <t>Tata Motors</t>
  </si>
  <si>
    <t>Neha</t>
  </si>
  <si>
    <t>Capgemini</t>
  </si>
  <si>
    <t>Ajay</t>
  </si>
  <si>
    <t>Accenture</t>
  </si>
  <si>
    <t>Kavya</t>
  </si>
  <si>
    <t>Manoj</t>
  </si>
  <si>
    <t>Nisha</t>
  </si>
  <si>
    <t>Rohit</t>
  </si>
  <si>
    <t>HCL</t>
  </si>
  <si>
    <t>Priya</t>
  </si>
  <si>
    <t>Varun</t>
  </si>
  <si>
    <t>Asha</t>
  </si>
  <si>
    <t>Deepak</t>
  </si>
  <si>
    <t>Shreya</t>
  </si>
  <si>
    <t>Gokul</t>
  </si>
  <si>
    <t>Harsha</t>
  </si>
  <si>
    <t>Tejas</t>
  </si>
  <si>
    <t>Lakshmi</t>
  </si>
  <si>
    <t>Arvind</t>
  </si>
  <si>
    <t>Swathi</t>
  </si>
  <si>
    <t>Naveen</t>
  </si>
  <si>
    <t>Bhavana</t>
  </si>
  <si>
    <t>PLACEMENT ANALYSIS DASHBOARD</t>
  </si>
  <si>
    <t>TOTAL STUDENT</t>
  </si>
  <si>
    <t>PLACED STUDENTS</t>
  </si>
  <si>
    <t>UNPLACED STUDENTS</t>
  </si>
  <si>
    <t>AVERAGE SALARY</t>
  </si>
  <si>
    <t>HIGHEST SALARY</t>
  </si>
  <si>
    <t>PLACEMENT PERCENTAGE</t>
  </si>
  <si>
    <t>Row Labels</t>
  </si>
  <si>
    <t>Grand Total</t>
  </si>
  <si>
    <t>Count of Placed</t>
  </si>
  <si>
    <t>PLACEMENT BY DEPARTMENT</t>
  </si>
  <si>
    <t xml:space="preserve">TOTAL </t>
  </si>
  <si>
    <t>PLACED</t>
  </si>
  <si>
    <t>UNPLACED</t>
  </si>
  <si>
    <t>PLACED AND UNPLACED</t>
  </si>
  <si>
    <t>CGPA VS SALARY</t>
  </si>
  <si>
    <t>TOP HIRING COMPANIES</t>
  </si>
  <si>
    <t>Count of Company</t>
  </si>
  <si>
    <t>Average of Salary_LPA</t>
  </si>
  <si>
    <t>salary range</t>
  </si>
  <si>
    <t>0-5</t>
  </si>
  <si>
    <t>10+</t>
  </si>
  <si>
    <t>5-10</t>
  </si>
  <si>
    <t>Unplaced</t>
  </si>
  <si>
    <t>(blank)</t>
  </si>
  <si>
    <t>Count of Student_Name</t>
  </si>
  <si>
    <t>SALARY DISTRIBUTION</t>
  </si>
  <si>
    <t>DEPARMENT-WISE 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</si>
</sst>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5"/>
              <c:pt idx="0">
                <c:v>CIVIL</c:v>
              </c:pt>
              <c:pt idx="1">
                <c:v>CSE</c:v>
              </c:pt>
              <c:pt idx="2">
                <c:v>ECE</c:v>
              </c:pt>
              <c:pt idx="3">
                <c:v>IT</c:v>
              </c:pt>
              <c:pt idx="4">
                <c:v>MECH</c:v>
              </c:pt>
            </c:strLit>
          </c:cat>
          <c:val>
            <c:numLit>
              <c:formatCode>General</c:formatCode>
              <c:ptCount val="5"/>
              <c:pt idx="0">
                <c:v>3</c:v>
              </c:pt>
              <c:pt idx="1">
                <c:v>9</c:v>
              </c:pt>
              <c:pt idx="2">
                <c:v>7</c:v>
              </c:pt>
              <c:pt idx="3">
                <c:v>7</c:v>
              </c:pt>
              <c:pt idx="4">
                <c:v>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507200"/>
        <c:axId val="137508736"/>
      </c:barChart>
      <c:catAx>
        <c:axId val="137507200"/>
        <c:scaling>
          <c:orientation val="minMax"/>
        </c:scaling>
        <c:delete val="0"/>
        <c:axPos val="l"/>
        <c:majorTickMark val="out"/>
        <c:minorTickMark val="none"/>
        <c:tickLblPos val="nextTo"/>
        <c:crossAx val="137508736"/>
        <c:crosses val="autoZero"/>
        <c:auto val="1"/>
        <c:lblAlgn val="ctr"/>
        <c:lblOffset val="100"/>
        <c:noMultiLvlLbl val="0"/>
      </c:catAx>
      <c:valAx>
        <c:axId val="1375087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7507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placement!$I$1:$I$3</c:f>
              <c:strCache>
                <c:ptCount val="3"/>
                <c:pt idx="0">
                  <c:v>TOTAL </c:v>
                </c:pt>
                <c:pt idx="1">
                  <c:v>PLACED</c:v>
                </c:pt>
                <c:pt idx="2">
                  <c:v>UNPLACED</c:v>
                </c:pt>
              </c:strCache>
            </c:strRef>
          </c:cat>
          <c:val>
            <c:numRef>
              <c:f>placement!$J$1:$J$3</c:f>
              <c:numCache>
                <c:formatCode>General</c:formatCode>
                <c:ptCount val="3"/>
                <c:pt idx="0">
                  <c:v>30</c:v>
                </c:pt>
                <c:pt idx="1">
                  <c:v>23</c:v>
                </c:pt>
                <c:pt idx="2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12"/>
              <c:pt idx="0">
                <c:v>Accenture</c:v>
              </c:pt>
              <c:pt idx="1">
                <c:v>Amazon</c:v>
              </c:pt>
              <c:pt idx="2">
                <c:v>Capgemini</c:v>
              </c:pt>
              <c:pt idx="3">
                <c:v>Google</c:v>
              </c:pt>
              <c:pt idx="4">
                <c:v>HCL</c:v>
              </c:pt>
              <c:pt idx="5">
                <c:v>Infosys</c:v>
              </c:pt>
              <c:pt idx="6">
                <c:v>L&amp;T</c:v>
              </c:pt>
              <c:pt idx="7">
                <c:v>Microsoft</c:v>
              </c:pt>
              <c:pt idx="8">
                <c:v>None</c:v>
              </c:pt>
              <c:pt idx="9">
                <c:v>Tata Motors</c:v>
              </c:pt>
              <c:pt idx="10">
                <c:v>TCS</c:v>
              </c:pt>
              <c:pt idx="11">
                <c:v>Wipro</c:v>
              </c:pt>
            </c:strLit>
          </c:cat>
          <c:val>
            <c:numLit>
              <c:formatCode>General</c:formatCode>
              <c:ptCount val="12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1</c:v>
              </c:pt>
              <c:pt idx="5">
                <c:v>4</c:v>
              </c:pt>
              <c:pt idx="6">
                <c:v>2</c:v>
              </c:pt>
              <c:pt idx="7">
                <c:v>2</c:v>
              </c:pt>
              <c:pt idx="8">
                <c:v>7</c:v>
              </c:pt>
              <c:pt idx="9">
                <c:v>1</c:v>
              </c:pt>
              <c:pt idx="10">
                <c:v>3</c:v>
              </c:pt>
              <c:pt idx="11">
                <c:v>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961664"/>
        <c:axId val="134924160"/>
      </c:barChart>
      <c:catAx>
        <c:axId val="34961664"/>
        <c:scaling>
          <c:orientation val="minMax"/>
        </c:scaling>
        <c:delete val="0"/>
        <c:axPos val="l"/>
        <c:majorTickMark val="out"/>
        <c:minorTickMark val="none"/>
        <c:tickLblPos val="nextTo"/>
        <c:crossAx val="134924160"/>
        <c:crosses val="autoZero"/>
        <c:auto val="1"/>
        <c:lblAlgn val="ctr"/>
        <c:lblOffset val="100"/>
        <c:noMultiLvlLbl val="0"/>
      </c:catAx>
      <c:valAx>
        <c:axId val="1349241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4961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5"/>
              <c:pt idx="0">
                <c:v>CIVIL</c:v>
              </c:pt>
              <c:pt idx="1">
                <c:v>CSE</c:v>
              </c:pt>
              <c:pt idx="2">
                <c:v>ECE</c:v>
              </c:pt>
              <c:pt idx="3">
                <c:v>IT</c:v>
              </c:pt>
              <c:pt idx="4">
                <c:v>MECH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11</c:v>
              </c:pt>
              <c:pt idx="2">
                <c:v>3.0857142857142854</c:v>
              </c:pt>
              <c:pt idx="3">
                <c:v>6.1857142857142859</c:v>
              </c:pt>
              <c:pt idx="4">
                <c:v>3.3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264768"/>
        <c:axId val="139267456"/>
      </c:barChart>
      <c:catAx>
        <c:axId val="139264768"/>
        <c:scaling>
          <c:orientation val="minMax"/>
        </c:scaling>
        <c:delete val="0"/>
        <c:axPos val="b"/>
        <c:majorTickMark val="out"/>
        <c:minorTickMark val="none"/>
        <c:tickLblPos val="nextTo"/>
        <c:crossAx val="139267456"/>
        <c:crosses val="autoZero"/>
        <c:auto val="1"/>
        <c:lblAlgn val="ctr"/>
        <c:lblOffset val="100"/>
        <c:noMultiLvlLbl val="0"/>
      </c:catAx>
      <c:valAx>
        <c:axId val="139267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264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5"/>
              <c:pt idx="0">
                <c:v>0-5</c:v>
              </c:pt>
              <c:pt idx="1">
                <c:v>10+</c:v>
              </c:pt>
              <c:pt idx="2">
                <c:v>5-10</c:v>
              </c:pt>
              <c:pt idx="3">
                <c:v>Unplaced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5</c:v>
              </c:pt>
              <c:pt idx="1">
                <c:v>6</c:v>
              </c:pt>
              <c:pt idx="2">
                <c:v>12</c:v>
              </c:pt>
              <c:pt idx="3">
                <c:v>7</c:v>
              </c:pt>
              <c:pt idx="4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61664"/>
        <c:axId val="139241728"/>
      </c:barChart>
      <c:catAx>
        <c:axId val="36561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39241728"/>
        <c:crosses val="autoZero"/>
        <c:auto val="1"/>
        <c:lblAlgn val="ctr"/>
        <c:lblOffset val="100"/>
        <c:noMultiLvlLbl val="0"/>
      </c:catAx>
      <c:valAx>
        <c:axId val="139241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561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placement!$H$123</c:f>
              <c:strCache>
                <c:ptCount val="1"/>
                <c:pt idx="0">
                  <c:v>Salary_LPA</c:v>
                </c:pt>
              </c:strCache>
            </c:strRef>
          </c:tx>
          <c:spPr>
            <a:ln w="28575">
              <a:noFill/>
            </a:ln>
          </c:spPr>
          <c:xVal>
            <c:numRef>
              <c:f>placement!$G$124:$G$153</c:f>
              <c:numCache>
                <c:formatCode>General</c:formatCode>
                <c:ptCount val="30"/>
                <c:pt idx="0">
                  <c:v>8.5</c:v>
                </c:pt>
                <c:pt idx="1">
                  <c:v>7.8</c:v>
                </c:pt>
                <c:pt idx="2">
                  <c:v>6.9</c:v>
                </c:pt>
                <c:pt idx="3">
                  <c:v>9.1</c:v>
                </c:pt>
                <c:pt idx="4">
                  <c:v>7.2</c:v>
                </c:pt>
                <c:pt idx="5">
                  <c:v>8.8000000000000007</c:v>
                </c:pt>
                <c:pt idx="6">
                  <c:v>6.5</c:v>
                </c:pt>
                <c:pt idx="7">
                  <c:v>7.9</c:v>
                </c:pt>
                <c:pt idx="8">
                  <c:v>6.8</c:v>
                </c:pt>
                <c:pt idx="9">
                  <c:v>9.3000000000000007</c:v>
                </c:pt>
                <c:pt idx="10">
                  <c:v>7.5</c:v>
                </c:pt>
                <c:pt idx="11">
                  <c:v>8</c:v>
                </c:pt>
                <c:pt idx="12">
                  <c:v>8.1999999999999993</c:v>
                </c:pt>
                <c:pt idx="13">
                  <c:v>7.1</c:v>
                </c:pt>
                <c:pt idx="14">
                  <c:v>6.7</c:v>
                </c:pt>
                <c:pt idx="15">
                  <c:v>9</c:v>
                </c:pt>
                <c:pt idx="16">
                  <c:v>7.4</c:v>
                </c:pt>
                <c:pt idx="17">
                  <c:v>8.3000000000000007</c:v>
                </c:pt>
                <c:pt idx="18">
                  <c:v>6.9</c:v>
                </c:pt>
                <c:pt idx="19">
                  <c:v>9.5</c:v>
                </c:pt>
                <c:pt idx="20">
                  <c:v>7</c:v>
                </c:pt>
                <c:pt idx="21">
                  <c:v>8.6</c:v>
                </c:pt>
                <c:pt idx="22">
                  <c:v>6.4</c:v>
                </c:pt>
                <c:pt idx="23">
                  <c:v>8.9</c:v>
                </c:pt>
                <c:pt idx="24">
                  <c:v>7.3</c:v>
                </c:pt>
                <c:pt idx="25">
                  <c:v>8.1</c:v>
                </c:pt>
                <c:pt idx="26">
                  <c:v>7.6</c:v>
                </c:pt>
                <c:pt idx="27">
                  <c:v>9.1999999999999993</c:v>
                </c:pt>
                <c:pt idx="28">
                  <c:v>6.8</c:v>
                </c:pt>
                <c:pt idx="29">
                  <c:v>8.4</c:v>
                </c:pt>
              </c:numCache>
            </c:numRef>
          </c:xVal>
          <c:yVal>
            <c:numRef>
              <c:f>placement!$H$124:$H$153</c:f>
              <c:numCache>
                <c:formatCode>General</c:formatCode>
                <c:ptCount val="30"/>
                <c:pt idx="0">
                  <c:v>6.5</c:v>
                </c:pt>
                <c:pt idx="1">
                  <c:v>5.2</c:v>
                </c:pt>
                <c:pt idx="2">
                  <c:v>0</c:v>
                </c:pt>
                <c:pt idx="3">
                  <c:v>12</c:v>
                </c:pt>
                <c:pt idx="4">
                  <c:v>4</c:v>
                </c:pt>
                <c:pt idx="5">
                  <c:v>10.5</c:v>
                </c:pt>
                <c:pt idx="6">
                  <c:v>0</c:v>
                </c:pt>
                <c:pt idx="7">
                  <c:v>5.8</c:v>
                </c:pt>
                <c:pt idx="8">
                  <c:v>0</c:v>
                </c:pt>
                <c:pt idx="9">
                  <c:v>14</c:v>
                </c:pt>
                <c:pt idx="10">
                  <c:v>4.5</c:v>
                </c:pt>
                <c:pt idx="11">
                  <c:v>6</c:v>
                </c:pt>
                <c:pt idx="12">
                  <c:v>7</c:v>
                </c:pt>
                <c:pt idx="13">
                  <c:v>4.8</c:v>
                </c:pt>
                <c:pt idx="14">
                  <c:v>0</c:v>
                </c:pt>
                <c:pt idx="15">
                  <c:v>11</c:v>
                </c:pt>
                <c:pt idx="16">
                  <c:v>5.5</c:v>
                </c:pt>
                <c:pt idx="17">
                  <c:v>6.8</c:v>
                </c:pt>
                <c:pt idx="18">
                  <c:v>0</c:v>
                </c:pt>
                <c:pt idx="19">
                  <c:v>15</c:v>
                </c:pt>
                <c:pt idx="20">
                  <c:v>4.9000000000000004</c:v>
                </c:pt>
                <c:pt idx="21">
                  <c:v>7.5</c:v>
                </c:pt>
                <c:pt idx="22">
                  <c:v>0</c:v>
                </c:pt>
                <c:pt idx="23">
                  <c:v>10</c:v>
                </c:pt>
                <c:pt idx="24">
                  <c:v>5.2</c:v>
                </c:pt>
                <c:pt idx="25">
                  <c:v>6.2</c:v>
                </c:pt>
                <c:pt idx="26">
                  <c:v>4.7</c:v>
                </c:pt>
                <c:pt idx="27">
                  <c:v>13</c:v>
                </c:pt>
                <c:pt idx="28">
                  <c:v>0</c:v>
                </c:pt>
                <c:pt idx="29">
                  <c:v>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9920"/>
        <c:axId val="162287616"/>
      </c:scatterChart>
      <c:valAx>
        <c:axId val="16228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287616"/>
        <c:crosses val="autoZero"/>
        <c:crossBetween val="midCat"/>
      </c:valAx>
      <c:valAx>
        <c:axId val="162287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2899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46</xdr:row>
      <xdr:rowOff>133350</xdr:rowOff>
    </xdr:from>
    <xdr:to>
      <xdr:col>10</xdr:col>
      <xdr:colOff>600075</xdr:colOff>
      <xdr:row>61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69</xdr:row>
      <xdr:rowOff>66675</xdr:rowOff>
    </xdr:from>
    <xdr:to>
      <xdr:col>11</xdr:col>
      <xdr:colOff>0</xdr:colOff>
      <xdr:row>83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419100</xdr:colOff>
      <xdr:row>194</xdr:row>
      <xdr:rowOff>9525</xdr:rowOff>
    </xdr:from>
    <xdr:to>
      <xdr:col>9</xdr:col>
      <xdr:colOff>466725</xdr:colOff>
      <xdr:row>208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542925</xdr:colOff>
      <xdr:row>226</xdr:row>
      <xdr:rowOff>9525</xdr:rowOff>
    </xdr:from>
    <xdr:to>
      <xdr:col>9</xdr:col>
      <xdr:colOff>962025</xdr:colOff>
      <xdr:row>240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695325</xdr:colOff>
      <xdr:row>101</xdr:row>
      <xdr:rowOff>57150</xdr:rowOff>
    </xdr:from>
    <xdr:to>
      <xdr:col>9</xdr:col>
      <xdr:colOff>219075</xdr:colOff>
      <xdr:row>115</xdr:row>
      <xdr:rowOff>133350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190500</xdr:colOff>
      <xdr:row>156</xdr:row>
      <xdr:rowOff>76200</xdr:rowOff>
    </xdr:from>
    <xdr:to>
      <xdr:col>10</xdr:col>
      <xdr:colOff>28575</xdr:colOff>
      <xdr:row>170</xdr:row>
      <xdr:rowOff>152400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23.68582997685" createdVersion="4" refreshedVersion="4" minRefreshableVersion="3" recordCount="30">
  <cacheSource type="worksheet">
    <worksheetSource ref="A1:F31" sheet="placement"/>
  </cacheSource>
  <cacheFields count="6">
    <cacheField name="Student_Name" numFmtId="0">
      <sharedItems/>
    </cacheField>
    <cacheField name="Department" numFmtId="0">
      <sharedItems count="5">
        <s v="CSE"/>
        <s v="IT"/>
        <s v="ECE"/>
        <s v="MECH"/>
        <s v="CIVIL"/>
      </sharedItems>
    </cacheField>
    <cacheField name="CGPA" numFmtId="0">
      <sharedItems containsSemiMixedTypes="0" containsString="0" containsNumber="1" minValue="6.4" maxValue="9.5"/>
    </cacheField>
    <cacheField name="Placed" numFmtId="0">
      <sharedItems/>
    </cacheField>
    <cacheField name="Salary_LPA" numFmtId="0">
      <sharedItems containsSemiMixedTypes="0" containsString="0" containsNumber="1" minValue="0" maxValue="15"/>
    </cacheField>
    <cacheField name="Company" numFmtId="0">
      <sharedItems count="12">
        <s v="TCS"/>
        <s v="Infosys"/>
        <s v="None"/>
        <s v="Amazon"/>
        <s v="L&amp;T"/>
        <s v="Google"/>
        <s v="Wipro"/>
        <s v="Microsoft"/>
        <s v="Tata Motors"/>
        <s v="Capgemini"/>
        <s v="Accenture"/>
        <s v="HC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124.952060416668" createdVersion="4" refreshedVersion="4" minRefreshableVersion="3" recordCount="31">
  <cacheSource type="worksheet">
    <worksheetSource ref="A1:G32" sheet="placement"/>
  </cacheSource>
  <cacheFields count="7">
    <cacheField name="Student_Name" numFmtId="0">
      <sharedItems containsBlank="1"/>
    </cacheField>
    <cacheField name="Department" numFmtId="0">
      <sharedItems containsBlank="1"/>
    </cacheField>
    <cacheField name="CGPA" numFmtId="0">
      <sharedItems containsString="0" containsBlank="1" containsNumber="1" minValue="6.4" maxValue="9.5"/>
    </cacheField>
    <cacheField name="Placed" numFmtId="0">
      <sharedItems containsBlank="1"/>
    </cacheField>
    <cacheField name="Salary_LPA" numFmtId="0">
      <sharedItems containsString="0" containsBlank="1" containsNumber="1" minValue="0" maxValue="15"/>
    </cacheField>
    <cacheField name="Company" numFmtId="0">
      <sharedItems containsBlank="1"/>
    </cacheField>
    <cacheField name="salary range" numFmtId="0">
      <sharedItems containsBlank="1" count="5">
        <s v="5-10"/>
        <s v="Unplaced"/>
        <s v="10+"/>
        <s v="0-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Arun"/>
    <x v="0"/>
    <n v="8.5"/>
    <s v="Yes"/>
    <n v="6.5"/>
    <x v="0"/>
  </r>
  <r>
    <s v="Meera"/>
    <x v="1"/>
    <n v="7.8"/>
    <s v="Yes"/>
    <n v="5.2"/>
    <x v="1"/>
  </r>
  <r>
    <s v="Rahul"/>
    <x v="2"/>
    <n v="6.9"/>
    <s v="No"/>
    <n v="0"/>
    <x v="2"/>
  </r>
  <r>
    <s v="Sneha"/>
    <x v="0"/>
    <n v="9.1"/>
    <s v="Yes"/>
    <n v="12"/>
    <x v="3"/>
  </r>
  <r>
    <s v="Vijay"/>
    <x v="3"/>
    <n v="7.2"/>
    <s v="Yes"/>
    <n v="4"/>
    <x v="4"/>
  </r>
  <r>
    <s v="Anjali"/>
    <x v="0"/>
    <n v="8.8000000000000007"/>
    <s v="Yes"/>
    <n v="10.5"/>
    <x v="5"/>
  </r>
  <r>
    <s v="Kiran"/>
    <x v="2"/>
    <n v="6.5"/>
    <s v="No"/>
    <n v="0"/>
    <x v="2"/>
  </r>
  <r>
    <s v="Divya"/>
    <x v="1"/>
    <n v="7.9"/>
    <s v="Yes"/>
    <n v="5.8"/>
    <x v="6"/>
  </r>
  <r>
    <s v="Ravi"/>
    <x v="4"/>
    <n v="6.8"/>
    <s v="No"/>
    <n v="0"/>
    <x v="2"/>
  </r>
  <r>
    <s v="Pooja"/>
    <x v="0"/>
    <n v="9.3000000000000007"/>
    <s v="Yes"/>
    <n v="14"/>
    <x v="7"/>
  </r>
  <r>
    <s v="Suresh"/>
    <x v="3"/>
    <n v="7.5"/>
    <s v="Yes"/>
    <n v="4.5"/>
    <x v="8"/>
  </r>
  <r>
    <s v="Neha"/>
    <x v="2"/>
    <n v="8"/>
    <s v="Yes"/>
    <n v="6"/>
    <x v="9"/>
  </r>
  <r>
    <s v="Ajay"/>
    <x v="0"/>
    <n v="8.1999999999999993"/>
    <s v="Yes"/>
    <n v="7"/>
    <x v="10"/>
  </r>
  <r>
    <s v="Kavya"/>
    <x v="1"/>
    <n v="7.1"/>
    <s v="Yes"/>
    <n v="4.8"/>
    <x v="1"/>
  </r>
  <r>
    <s v="Manoj"/>
    <x v="4"/>
    <n v="6.7"/>
    <s v="No"/>
    <n v="0"/>
    <x v="2"/>
  </r>
  <r>
    <s v="Nisha"/>
    <x v="0"/>
    <n v="9"/>
    <s v="Yes"/>
    <n v="11"/>
    <x v="3"/>
  </r>
  <r>
    <s v="Rohit"/>
    <x v="2"/>
    <n v="7.4"/>
    <s v="Yes"/>
    <n v="5.5"/>
    <x v="11"/>
  </r>
  <r>
    <s v="Priya"/>
    <x v="1"/>
    <n v="8.3000000000000007"/>
    <s v="Yes"/>
    <n v="6.8"/>
    <x v="0"/>
  </r>
  <r>
    <s v="Varun"/>
    <x v="3"/>
    <n v="6.9"/>
    <s v="No"/>
    <n v="0"/>
    <x v="2"/>
  </r>
  <r>
    <s v="Asha"/>
    <x v="0"/>
    <n v="9.5"/>
    <s v="Yes"/>
    <n v="15"/>
    <x v="5"/>
  </r>
  <r>
    <s v="Deepak"/>
    <x v="2"/>
    <n v="7"/>
    <s v="Yes"/>
    <n v="4.9000000000000004"/>
    <x v="6"/>
  </r>
  <r>
    <s v="Shreya"/>
    <x v="1"/>
    <n v="8.6"/>
    <s v="Yes"/>
    <n v="7.5"/>
    <x v="10"/>
  </r>
  <r>
    <s v="Gokul"/>
    <x v="4"/>
    <n v="6.4"/>
    <s v="No"/>
    <n v="0"/>
    <x v="2"/>
  </r>
  <r>
    <s v="Harsha"/>
    <x v="0"/>
    <n v="8.9"/>
    <s v="Yes"/>
    <n v="10"/>
    <x v="1"/>
  </r>
  <r>
    <s v="Tejas"/>
    <x v="2"/>
    <n v="7.3"/>
    <s v="Yes"/>
    <n v="5.2"/>
    <x v="9"/>
  </r>
  <r>
    <s v="Lakshmi"/>
    <x v="1"/>
    <n v="8.1"/>
    <s v="Yes"/>
    <n v="6.2"/>
    <x v="0"/>
  </r>
  <r>
    <s v="Arvind"/>
    <x v="3"/>
    <n v="7.6"/>
    <s v="Yes"/>
    <n v="4.7"/>
    <x v="4"/>
  </r>
  <r>
    <s v="Swathi"/>
    <x v="0"/>
    <n v="9.1999999999999993"/>
    <s v="Yes"/>
    <n v="13"/>
    <x v="7"/>
  </r>
  <r>
    <s v="Naveen"/>
    <x v="2"/>
    <n v="6.8"/>
    <s v="No"/>
    <n v="0"/>
    <x v="2"/>
  </r>
  <r>
    <s v="Bhavana"/>
    <x v="1"/>
    <n v="8.4"/>
    <s v="Yes"/>
    <n v="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1">
  <r>
    <s v="Arun"/>
    <s v="CSE"/>
    <n v="8.5"/>
    <s v="Yes"/>
    <n v="6.5"/>
    <s v="TCS"/>
    <x v="0"/>
  </r>
  <r>
    <s v="Meera"/>
    <s v="IT"/>
    <n v="7.8"/>
    <s v="Yes"/>
    <n v="5.2"/>
    <s v="Infosys"/>
    <x v="0"/>
  </r>
  <r>
    <s v="Rahul"/>
    <s v="ECE"/>
    <n v="6.9"/>
    <s v="No"/>
    <n v="0"/>
    <s v="None"/>
    <x v="1"/>
  </r>
  <r>
    <s v="Sneha"/>
    <s v="CSE"/>
    <n v="9.1"/>
    <s v="Yes"/>
    <n v="12"/>
    <s v="Amazon"/>
    <x v="2"/>
  </r>
  <r>
    <s v="Vijay"/>
    <s v="MECH"/>
    <n v="7.2"/>
    <s v="Yes"/>
    <n v="4"/>
    <s v="L&amp;T"/>
    <x v="3"/>
  </r>
  <r>
    <s v="Anjali"/>
    <s v="CSE"/>
    <n v="8.8000000000000007"/>
    <s v="Yes"/>
    <n v="10.5"/>
    <s v="Google"/>
    <x v="2"/>
  </r>
  <r>
    <s v="Kiran"/>
    <s v="ECE"/>
    <n v="6.5"/>
    <s v="No"/>
    <n v="0"/>
    <s v="None"/>
    <x v="1"/>
  </r>
  <r>
    <s v="Divya"/>
    <s v="IT"/>
    <n v="7.9"/>
    <s v="Yes"/>
    <n v="5.8"/>
    <s v="Wipro"/>
    <x v="0"/>
  </r>
  <r>
    <s v="Ravi"/>
    <s v="CIVIL"/>
    <n v="6.8"/>
    <s v="No"/>
    <n v="0"/>
    <s v="None"/>
    <x v="1"/>
  </r>
  <r>
    <s v="Pooja"/>
    <s v="CSE"/>
    <n v="9.3000000000000007"/>
    <s v="Yes"/>
    <n v="14"/>
    <s v="Microsoft"/>
    <x v="2"/>
  </r>
  <r>
    <s v="Suresh"/>
    <s v="MECH"/>
    <n v="7.5"/>
    <s v="Yes"/>
    <n v="4.5"/>
    <s v="Tata Motors"/>
    <x v="3"/>
  </r>
  <r>
    <s v="Neha"/>
    <s v="ECE"/>
    <n v="8"/>
    <s v="Yes"/>
    <n v="6"/>
    <s v="Capgemini"/>
    <x v="0"/>
  </r>
  <r>
    <s v="Ajay"/>
    <s v="CSE"/>
    <n v="8.1999999999999993"/>
    <s v="Yes"/>
    <n v="7"/>
    <s v="Accenture"/>
    <x v="0"/>
  </r>
  <r>
    <s v="Kavya"/>
    <s v="IT"/>
    <n v="7.1"/>
    <s v="Yes"/>
    <n v="4.8"/>
    <s v="Infosys"/>
    <x v="3"/>
  </r>
  <r>
    <s v="Manoj"/>
    <s v="CIVIL"/>
    <n v="6.7"/>
    <s v="No"/>
    <n v="0"/>
    <s v="None"/>
    <x v="1"/>
  </r>
  <r>
    <s v="Nisha"/>
    <s v="CSE"/>
    <n v="9"/>
    <s v="Yes"/>
    <n v="11"/>
    <s v="Amazon"/>
    <x v="2"/>
  </r>
  <r>
    <s v="Rohit"/>
    <s v="ECE"/>
    <n v="7.4"/>
    <s v="Yes"/>
    <n v="5.5"/>
    <s v="HCL"/>
    <x v="0"/>
  </r>
  <r>
    <s v="Priya"/>
    <s v="IT"/>
    <n v="8.3000000000000007"/>
    <s v="Yes"/>
    <n v="6.8"/>
    <s v="TCS"/>
    <x v="0"/>
  </r>
  <r>
    <s v="Varun"/>
    <s v="MECH"/>
    <n v="6.9"/>
    <s v="No"/>
    <n v="0"/>
    <s v="None"/>
    <x v="1"/>
  </r>
  <r>
    <s v="Asha"/>
    <s v="CSE"/>
    <n v="9.5"/>
    <s v="Yes"/>
    <n v="15"/>
    <s v="Google"/>
    <x v="2"/>
  </r>
  <r>
    <s v="Deepak"/>
    <s v="ECE"/>
    <n v="7"/>
    <s v="Yes"/>
    <n v="4.9000000000000004"/>
    <s v="Wipro"/>
    <x v="3"/>
  </r>
  <r>
    <s v="Shreya"/>
    <s v="IT"/>
    <n v="8.6"/>
    <s v="Yes"/>
    <n v="7.5"/>
    <s v="Accenture"/>
    <x v="0"/>
  </r>
  <r>
    <s v="Gokul"/>
    <s v="CIVIL"/>
    <n v="6.4"/>
    <s v="No"/>
    <n v="0"/>
    <s v="None"/>
    <x v="1"/>
  </r>
  <r>
    <s v="Harsha"/>
    <s v="CSE"/>
    <n v="8.9"/>
    <s v="Yes"/>
    <n v="10"/>
    <s v="Infosys"/>
    <x v="0"/>
  </r>
  <r>
    <s v="Tejas"/>
    <s v="ECE"/>
    <n v="7.3"/>
    <s v="Yes"/>
    <n v="5.2"/>
    <s v="Capgemini"/>
    <x v="0"/>
  </r>
  <r>
    <s v="Lakshmi"/>
    <s v="IT"/>
    <n v="8.1"/>
    <s v="Yes"/>
    <n v="6.2"/>
    <s v="TCS"/>
    <x v="0"/>
  </r>
  <r>
    <s v="Arvind"/>
    <s v="MECH"/>
    <n v="7.6"/>
    <s v="Yes"/>
    <n v="4.7"/>
    <s v="L&amp;T"/>
    <x v="3"/>
  </r>
  <r>
    <s v="Swathi"/>
    <s v="CSE"/>
    <n v="9.1999999999999993"/>
    <s v="Yes"/>
    <n v="13"/>
    <s v="Microsoft"/>
    <x v="2"/>
  </r>
  <r>
    <s v="Naveen"/>
    <s v="ECE"/>
    <n v="6.8"/>
    <s v="No"/>
    <n v="0"/>
    <s v="None"/>
    <x v="1"/>
  </r>
  <r>
    <s v="Bhavana"/>
    <s v="IT"/>
    <n v="8.4"/>
    <s v="Yes"/>
    <n v="7"/>
    <s v="Infosys"/>
    <x v="0"/>
  </r>
  <r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6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>
      <items count="13">
        <item x="10"/>
        <item x="3"/>
        <item x="9"/>
        <item x="5"/>
        <item x="11"/>
        <item x="1"/>
        <item x="4"/>
        <item x="7"/>
        <item x="2"/>
        <item x="8"/>
        <item x="0"/>
        <item x="6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ompan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/>
  <pivotFields count="6"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_LPA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udent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8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40:H46" firstHeaderRow="1" firstDataRow="1" firstDataCol="1"/>
  <pivotFields count="6"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lace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5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218:H224" firstHeaderRow="1" firstDataRow="1" firstDataCol="1"/>
  <pivotFields count="6"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_LPA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93:H99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udent_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179:H192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>
      <items count="13">
        <item x="10"/>
        <item x="3"/>
        <item x="9"/>
        <item x="5"/>
        <item x="11"/>
        <item x="1"/>
        <item x="4"/>
        <item x="7"/>
        <item x="2"/>
        <item x="8"/>
        <item x="0"/>
        <item x="6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ompany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3" sqref="A3:B16"/>
    </sheetView>
  </sheetViews>
  <sheetFormatPr defaultRowHeight="15" x14ac:dyDescent="0.25"/>
  <cols>
    <col min="1" max="1" width="13.140625" bestFit="1" customWidth="1"/>
    <col min="2" max="2" width="17.5703125" bestFit="1" customWidth="1"/>
  </cols>
  <sheetData>
    <row r="3" spans="1:2" x14ac:dyDescent="0.25">
      <c r="A3" s="1" t="s">
        <v>62</v>
      </c>
      <c r="B3" t="s">
        <v>72</v>
      </c>
    </row>
    <row r="4" spans="1:2" x14ac:dyDescent="0.25">
      <c r="A4" s="2" t="s">
        <v>36</v>
      </c>
      <c r="B4" s="3">
        <v>2</v>
      </c>
    </row>
    <row r="5" spans="1:2" x14ac:dyDescent="0.25">
      <c r="A5" s="2" t="s">
        <v>18</v>
      </c>
      <c r="B5" s="3">
        <v>2</v>
      </c>
    </row>
    <row r="6" spans="1:2" x14ac:dyDescent="0.25">
      <c r="A6" s="2" t="s">
        <v>34</v>
      </c>
      <c r="B6" s="3">
        <v>2</v>
      </c>
    </row>
    <row r="7" spans="1:2" x14ac:dyDescent="0.25">
      <c r="A7" s="2" t="s">
        <v>23</v>
      </c>
      <c r="B7" s="3">
        <v>2</v>
      </c>
    </row>
    <row r="8" spans="1:2" x14ac:dyDescent="0.25">
      <c r="A8" s="2" t="s">
        <v>41</v>
      </c>
      <c r="B8" s="3">
        <v>1</v>
      </c>
    </row>
    <row r="9" spans="1:2" x14ac:dyDescent="0.25">
      <c r="A9" s="2" t="s">
        <v>12</v>
      </c>
      <c r="B9" s="3">
        <v>4</v>
      </c>
    </row>
    <row r="10" spans="1:2" x14ac:dyDescent="0.25">
      <c r="A10" s="2" t="s">
        <v>21</v>
      </c>
      <c r="B10" s="3">
        <v>2</v>
      </c>
    </row>
    <row r="11" spans="1:2" x14ac:dyDescent="0.25">
      <c r="A11" s="2" t="s">
        <v>30</v>
      </c>
      <c r="B11" s="3">
        <v>2</v>
      </c>
    </row>
    <row r="12" spans="1:2" x14ac:dyDescent="0.25">
      <c r="A12" s="2" t="s">
        <v>16</v>
      </c>
      <c r="B12" s="3">
        <v>7</v>
      </c>
    </row>
    <row r="13" spans="1:2" x14ac:dyDescent="0.25">
      <c r="A13" s="2" t="s">
        <v>32</v>
      </c>
      <c r="B13" s="3">
        <v>1</v>
      </c>
    </row>
    <row r="14" spans="1:2" x14ac:dyDescent="0.25">
      <c r="A14" s="2" t="s">
        <v>9</v>
      </c>
      <c r="B14" s="3">
        <v>3</v>
      </c>
    </row>
    <row r="15" spans="1:2" x14ac:dyDescent="0.25">
      <c r="A15" s="2" t="s">
        <v>26</v>
      </c>
      <c r="B15" s="3">
        <v>2</v>
      </c>
    </row>
    <row r="16" spans="1:2" x14ac:dyDescent="0.25">
      <c r="A16" s="2" t="s">
        <v>63</v>
      </c>
      <c r="B16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:B9"/>
    </sheetView>
  </sheetViews>
  <sheetFormatPr defaultRowHeight="15" x14ac:dyDescent="0.25"/>
  <cols>
    <col min="1" max="1" width="13.140625" bestFit="1" customWidth="1"/>
    <col min="2" max="2" width="20.85546875" bestFit="1" customWidth="1"/>
  </cols>
  <sheetData>
    <row r="3" spans="1:2" x14ac:dyDescent="0.25">
      <c r="A3" s="1" t="s">
        <v>62</v>
      </c>
      <c r="B3" t="s">
        <v>73</v>
      </c>
    </row>
    <row r="4" spans="1:2" x14ac:dyDescent="0.25">
      <c r="A4" s="2" t="s">
        <v>28</v>
      </c>
      <c r="B4" s="3">
        <v>0</v>
      </c>
    </row>
    <row r="5" spans="1:2" x14ac:dyDescent="0.25">
      <c r="A5" s="2" t="s">
        <v>7</v>
      </c>
      <c r="B5" s="3">
        <v>11</v>
      </c>
    </row>
    <row r="6" spans="1:2" x14ac:dyDescent="0.25">
      <c r="A6" s="2" t="s">
        <v>14</v>
      </c>
      <c r="B6" s="3">
        <v>3.0857142857142854</v>
      </c>
    </row>
    <row r="7" spans="1:2" x14ac:dyDescent="0.25">
      <c r="A7" s="2" t="s">
        <v>11</v>
      </c>
      <c r="B7" s="3">
        <v>6.1857142857142859</v>
      </c>
    </row>
    <row r="8" spans="1:2" x14ac:dyDescent="0.25">
      <c r="A8" s="2" t="s">
        <v>20</v>
      </c>
      <c r="B8" s="3">
        <v>3.3</v>
      </c>
    </row>
    <row r="9" spans="1:2" x14ac:dyDescent="0.25">
      <c r="A9" s="2" t="s">
        <v>63</v>
      </c>
      <c r="B9" s="3">
        <v>5.9033333333333342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1" sqref="D11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opLeftCell="A7" workbookViewId="0">
      <selection activeCell="A3" sqref="A3:B9"/>
    </sheetView>
  </sheetViews>
  <sheetFormatPr defaultRowHeight="15" x14ac:dyDescent="0.25"/>
  <cols>
    <col min="1" max="1" width="13.140625" bestFit="1" customWidth="1"/>
    <col min="2" max="2" width="22.7109375" bestFit="1" customWidth="1"/>
  </cols>
  <sheetData>
    <row r="3" spans="1:2" x14ac:dyDescent="0.25">
      <c r="A3" s="1" t="s">
        <v>62</v>
      </c>
      <c r="B3" t="s">
        <v>80</v>
      </c>
    </row>
    <row r="4" spans="1:2" x14ac:dyDescent="0.25">
      <c r="A4" s="2" t="s">
        <v>75</v>
      </c>
      <c r="B4" s="3">
        <v>5</v>
      </c>
    </row>
    <row r="5" spans="1:2" x14ac:dyDescent="0.25">
      <c r="A5" s="2" t="s">
        <v>76</v>
      </c>
      <c r="B5" s="3">
        <v>6</v>
      </c>
    </row>
    <row r="6" spans="1:2" x14ac:dyDescent="0.25">
      <c r="A6" s="2" t="s">
        <v>77</v>
      </c>
      <c r="B6" s="3">
        <v>12</v>
      </c>
    </row>
    <row r="7" spans="1:2" x14ac:dyDescent="0.25">
      <c r="A7" s="2" t="s">
        <v>78</v>
      </c>
      <c r="B7" s="3">
        <v>7</v>
      </c>
    </row>
    <row r="8" spans="1:2" x14ac:dyDescent="0.25">
      <c r="A8" s="2" t="s">
        <v>79</v>
      </c>
      <c r="B8" s="3"/>
    </row>
    <row r="9" spans="1:2" x14ac:dyDescent="0.25">
      <c r="A9" s="2" t="s">
        <v>63</v>
      </c>
      <c r="B9" s="3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1"/>
  <sheetViews>
    <sheetView tabSelected="1" topLeftCell="A163" workbookViewId="0">
      <selection activeCell="B44" sqref="B44"/>
    </sheetView>
  </sheetViews>
  <sheetFormatPr defaultRowHeight="15" x14ac:dyDescent="0.25"/>
  <cols>
    <col min="1" max="1" width="15.140625" customWidth="1"/>
    <col min="2" max="2" width="15" customWidth="1"/>
    <col min="5" max="5" width="13.85546875" customWidth="1"/>
    <col min="6" max="6" width="11.85546875" customWidth="1"/>
    <col min="7" max="7" width="19.85546875" customWidth="1"/>
    <col min="8" max="8" width="18.85546875" customWidth="1"/>
    <col min="9" max="9" width="11.28515625" customWidth="1"/>
    <col min="10" max="10" width="20.85546875" customWidth="1"/>
    <col min="11" max="11" width="1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I1" t="s">
        <v>66</v>
      </c>
      <c r="J1">
        <v>30</v>
      </c>
    </row>
    <row r="2" spans="1:10" x14ac:dyDescent="0.25">
      <c r="A2" t="s">
        <v>6</v>
      </c>
      <c r="B2" t="s">
        <v>7</v>
      </c>
      <c r="C2">
        <v>8.5</v>
      </c>
      <c r="D2" t="s">
        <v>8</v>
      </c>
      <c r="E2">
        <v>6.5</v>
      </c>
      <c r="F2" t="s">
        <v>9</v>
      </c>
      <c r="G2" t="str">
        <f>IF(E2=0,"Unplaced",IF(E2&lt;=5,"0-5",IF(E2&lt;=10,"5-10","10+")))</f>
        <v>5-10</v>
      </c>
      <c r="I2" t="s">
        <v>67</v>
      </c>
      <c r="J2">
        <v>23</v>
      </c>
    </row>
    <row r="3" spans="1:10" x14ac:dyDescent="0.25">
      <c r="A3" t="s">
        <v>10</v>
      </c>
      <c r="B3" t="s">
        <v>11</v>
      </c>
      <c r="C3">
        <v>7.8</v>
      </c>
      <c r="D3" t="s">
        <v>8</v>
      </c>
      <c r="E3">
        <v>5.2</v>
      </c>
      <c r="F3" t="s">
        <v>12</v>
      </c>
      <c r="G3" t="str">
        <f t="shared" ref="G3:G31" si="0">IF(E3=0,"Unplaced",IF(E3&lt;=5,"0-5",IF(E3&lt;=10,"5-10","10+")))</f>
        <v>5-10</v>
      </c>
      <c r="I3" t="s">
        <v>68</v>
      </c>
      <c r="J3">
        <v>7</v>
      </c>
    </row>
    <row r="4" spans="1:10" x14ac:dyDescent="0.25">
      <c r="A4" t="s">
        <v>13</v>
      </c>
      <c r="B4" t="s">
        <v>14</v>
      </c>
      <c r="C4">
        <v>6.9</v>
      </c>
      <c r="D4" t="s">
        <v>15</v>
      </c>
      <c r="E4">
        <v>0</v>
      </c>
      <c r="F4" t="s">
        <v>16</v>
      </c>
      <c r="G4" t="str">
        <f t="shared" si="0"/>
        <v>Unplaced</v>
      </c>
    </row>
    <row r="5" spans="1:10" x14ac:dyDescent="0.25">
      <c r="A5" t="s">
        <v>17</v>
      </c>
      <c r="B5" t="s">
        <v>7</v>
      </c>
      <c r="C5">
        <v>9.1</v>
      </c>
      <c r="D5" t="s">
        <v>8</v>
      </c>
      <c r="E5">
        <v>12</v>
      </c>
      <c r="F5" t="s">
        <v>18</v>
      </c>
      <c r="G5" t="str">
        <f t="shared" si="0"/>
        <v>10+</v>
      </c>
    </row>
    <row r="6" spans="1:10" x14ac:dyDescent="0.25">
      <c r="A6" t="s">
        <v>19</v>
      </c>
      <c r="B6" t="s">
        <v>20</v>
      </c>
      <c r="C6">
        <v>7.2</v>
      </c>
      <c r="D6" t="s">
        <v>8</v>
      </c>
      <c r="E6">
        <v>4</v>
      </c>
      <c r="F6" t="s">
        <v>21</v>
      </c>
      <c r="G6" t="str">
        <f t="shared" si="0"/>
        <v>0-5</v>
      </c>
    </row>
    <row r="7" spans="1:10" x14ac:dyDescent="0.25">
      <c r="A7" t="s">
        <v>22</v>
      </c>
      <c r="B7" t="s">
        <v>7</v>
      </c>
      <c r="C7">
        <v>8.8000000000000007</v>
      </c>
      <c r="D7" t="s">
        <v>8</v>
      </c>
      <c r="E7">
        <v>10.5</v>
      </c>
      <c r="F7" t="s">
        <v>23</v>
      </c>
      <c r="G7" t="str">
        <f t="shared" si="0"/>
        <v>10+</v>
      </c>
    </row>
    <row r="8" spans="1:10" x14ac:dyDescent="0.25">
      <c r="A8" t="s">
        <v>24</v>
      </c>
      <c r="B8" t="s">
        <v>14</v>
      </c>
      <c r="C8">
        <v>6.5</v>
      </c>
      <c r="D8" t="s">
        <v>15</v>
      </c>
      <c r="E8">
        <v>0</v>
      </c>
      <c r="F8" t="s">
        <v>16</v>
      </c>
      <c r="G8" t="str">
        <f t="shared" si="0"/>
        <v>Unplaced</v>
      </c>
    </row>
    <row r="9" spans="1:10" x14ac:dyDescent="0.25">
      <c r="A9" t="s">
        <v>25</v>
      </c>
      <c r="B9" t="s">
        <v>11</v>
      </c>
      <c r="C9">
        <v>7.9</v>
      </c>
      <c r="D9" t="s">
        <v>8</v>
      </c>
      <c r="E9">
        <v>5.8</v>
      </c>
      <c r="F9" t="s">
        <v>26</v>
      </c>
      <c r="G9" t="str">
        <f t="shared" si="0"/>
        <v>5-10</v>
      </c>
    </row>
    <row r="10" spans="1:10" x14ac:dyDescent="0.25">
      <c r="A10" t="s">
        <v>27</v>
      </c>
      <c r="B10" t="s">
        <v>28</v>
      </c>
      <c r="C10">
        <v>6.8</v>
      </c>
      <c r="D10" t="s">
        <v>15</v>
      </c>
      <c r="E10">
        <v>0</v>
      </c>
      <c r="F10" t="s">
        <v>16</v>
      </c>
      <c r="G10" t="str">
        <f t="shared" si="0"/>
        <v>Unplaced</v>
      </c>
    </row>
    <row r="11" spans="1:10" x14ac:dyDescent="0.25">
      <c r="A11" t="s">
        <v>29</v>
      </c>
      <c r="B11" t="s">
        <v>7</v>
      </c>
      <c r="C11">
        <v>9.3000000000000007</v>
      </c>
      <c r="D11" t="s">
        <v>8</v>
      </c>
      <c r="E11">
        <v>14</v>
      </c>
      <c r="F11" t="s">
        <v>30</v>
      </c>
      <c r="G11" t="str">
        <f t="shared" si="0"/>
        <v>10+</v>
      </c>
    </row>
    <row r="12" spans="1:10" x14ac:dyDescent="0.25">
      <c r="A12" t="s">
        <v>31</v>
      </c>
      <c r="B12" t="s">
        <v>20</v>
      </c>
      <c r="C12">
        <v>7.5</v>
      </c>
      <c r="D12" t="s">
        <v>8</v>
      </c>
      <c r="E12">
        <v>4.5</v>
      </c>
      <c r="F12" t="s">
        <v>32</v>
      </c>
      <c r="G12" t="str">
        <f t="shared" si="0"/>
        <v>0-5</v>
      </c>
    </row>
    <row r="13" spans="1:10" x14ac:dyDescent="0.25">
      <c r="A13" t="s">
        <v>33</v>
      </c>
      <c r="B13" t="s">
        <v>14</v>
      </c>
      <c r="C13">
        <v>8</v>
      </c>
      <c r="D13" t="s">
        <v>8</v>
      </c>
      <c r="E13">
        <v>6</v>
      </c>
      <c r="F13" t="s">
        <v>34</v>
      </c>
      <c r="G13" t="str">
        <f t="shared" si="0"/>
        <v>5-10</v>
      </c>
    </row>
    <row r="14" spans="1:10" x14ac:dyDescent="0.25">
      <c r="A14" t="s">
        <v>35</v>
      </c>
      <c r="B14" t="s">
        <v>7</v>
      </c>
      <c r="C14">
        <v>8.1999999999999993</v>
      </c>
      <c r="D14" t="s">
        <v>8</v>
      </c>
      <c r="E14">
        <v>7</v>
      </c>
      <c r="F14" t="s">
        <v>36</v>
      </c>
      <c r="G14" t="str">
        <f t="shared" si="0"/>
        <v>5-10</v>
      </c>
    </row>
    <row r="15" spans="1:10" x14ac:dyDescent="0.25">
      <c r="A15" t="s">
        <v>37</v>
      </c>
      <c r="B15" t="s">
        <v>11</v>
      </c>
      <c r="C15">
        <v>7.1</v>
      </c>
      <c r="D15" t="s">
        <v>8</v>
      </c>
      <c r="E15">
        <v>4.8</v>
      </c>
      <c r="F15" t="s">
        <v>12</v>
      </c>
      <c r="G15" t="str">
        <f t="shared" si="0"/>
        <v>0-5</v>
      </c>
    </row>
    <row r="16" spans="1:10" x14ac:dyDescent="0.25">
      <c r="A16" t="s">
        <v>38</v>
      </c>
      <c r="B16" t="s">
        <v>28</v>
      </c>
      <c r="C16">
        <v>6.7</v>
      </c>
      <c r="D16" t="s">
        <v>15</v>
      </c>
      <c r="E16">
        <v>0</v>
      </c>
      <c r="F16" t="s">
        <v>16</v>
      </c>
      <c r="G16" t="str">
        <f t="shared" si="0"/>
        <v>Unplaced</v>
      </c>
    </row>
    <row r="17" spans="1:7" x14ac:dyDescent="0.25">
      <c r="A17" t="s">
        <v>39</v>
      </c>
      <c r="B17" t="s">
        <v>7</v>
      </c>
      <c r="C17">
        <v>9</v>
      </c>
      <c r="D17" t="s">
        <v>8</v>
      </c>
      <c r="E17">
        <v>11</v>
      </c>
      <c r="F17" t="s">
        <v>18</v>
      </c>
      <c r="G17" t="str">
        <f t="shared" si="0"/>
        <v>10+</v>
      </c>
    </row>
    <row r="18" spans="1:7" x14ac:dyDescent="0.25">
      <c r="A18" t="s">
        <v>40</v>
      </c>
      <c r="B18" t="s">
        <v>14</v>
      </c>
      <c r="C18">
        <v>7.4</v>
      </c>
      <c r="D18" t="s">
        <v>8</v>
      </c>
      <c r="E18">
        <v>5.5</v>
      </c>
      <c r="F18" t="s">
        <v>41</v>
      </c>
      <c r="G18" t="str">
        <f t="shared" si="0"/>
        <v>5-10</v>
      </c>
    </row>
    <row r="19" spans="1:7" x14ac:dyDescent="0.25">
      <c r="A19" t="s">
        <v>42</v>
      </c>
      <c r="B19" t="s">
        <v>11</v>
      </c>
      <c r="C19">
        <v>8.3000000000000007</v>
      </c>
      <c r="D19" t="s">
        <v>8</v>
      </c>
      <c r="E19">
        <v>6.8</v>
      </c>
      <c r="F19" t="s">
        <v>9</v>
      </c>
      <c r="G19" t="str">
        <f t="shared" si="0"/>
        <v>5-10</v>
      </c>
    </row>
    <row r="20" spans="1:7" x14ac:dyDescent="0.25">
      <c r="A20" t="s">
        <v>43</v>
      </c>
      <c r="B20" t="s">
        <v>20</v>
      </c>
      <c r="C20">
        <v>6.9</v>
      </c>
      <c r="D20" t="s">
        <v>15</v>
      </c>
      <c r="E20">
        <v>0</v>
      </c>
      <c r="F20" t="s">
        <v>16</v>
      </c>
      <c r="G20" t="str">
        <f t="shared" si="0"/>
        <v>Unplaced</v>
      </c>
    </row>
    <row r="21" spans="1:7" x14ac:dyDescent="0.25">
      <c r="A21" t="s">
        <v>44</v>
      </c>
      <c r="B21" t="s">
        <v>7</v>
      </c>
      <c r="C21">
        <v>9.5</v>
      </c>
      <c r="D21" t="s">
        <v>8</v>
      </c>
      <c r="E21">
        <v>15</v>
      </c>
      <c r="F21" t="s">
        <v>23</v>
      </c>
      <c r="G21" t="str">
        <f t="shared" si="0"/>
        <v>10+</v>
      </c>
    </row>
    <row r="22" spans="1:7" x14ac:dyDescent="0.25">
      <c r="A22" t="s">
        <v>45</v>
      </c>
      <c r="B22" t="s">
        <v>14</v>
      </c>
      <c r="C22">
        <v>7</v>
      </c>
      <c r="D22" t="s">
        <v>8</v>
      </c>
      <c r="E22">
        <v>4.9000000000000004</v>
      </c>
      <c r="F22" t="s">
        <v>26</v>
      </c>
      <c r="G22" t="str">
        <f t="shared" si="0"/>
        <v>0-5</v>
      </c>
    </row>
    <row r="23" spans="1:7" x14ac:dyDescent="0.25">
      <c r="A23" t="s">
        <v>46</v>
      </c>
      <c r="B23" t="s">
        <v>11</v>
      </c>
      <c r="C23">
        <v>8.6</v>
      </c>
      <c r="D23" t="s">
        <v>8</v>
      </c>
      <c r="E23">
        <v>7.5</v>
      </c>
      <c r="F23" t="s">
        <v>36</v>
      </c>
      <c r="G23" t="str">
        <f t="shared" si="0"/>
        <v>5-10</v>
      </c>
    </row>
    <row r="24" spans="1:7" x14ac:dyDescent="0.25">
      <c r="A24" t="s">
        <v>47</v>
      </c>
      <c r="B24" t="s">
        <v>28</v>
      </c>
      <c r="C24">
        <v>6.4</v>
      </c>
      <c r="D24" t="s">
        <v>15</v>
      </c>
      <c r="E24">
        <v>0</v>
      </c>
      <c r="F24" t="s">
        <v>16</v>
      </c>
      <c r="G24" t="str">
        <f t="shared" si="0"/>
        <v>Unplaced</v>
      </c>
    </row>
    <row r="25" spans="1:7" x14ac:dyDescent="0.25">
      <c r="A25" t="s">
        <v>48</v>
      </c>
      <c r="B25" t="s">
        <v>7</v>
      </c>
      <c r="C25">
        <v>8.9</v>
      </c>
      <c r="D25" t="s">
        <v>8</v>
      </c>
      <c r="E25">
        <v>10</v>
      </c>
      <c r="F25" t="s">
        <v>12</v>
      </c>
      <c r="G25" t="str">
        <f t="shared" si="0"/>
        <v>5-10</v>
      </c>
    </row>
    <row r="26" spans="1:7" x14ac:dyDescent="0.25">
      <c r="A26" t="s">
        <v>49</v>
      </c>
      <c r="B26" t="s">
        <v>14</v>
      </c>
      <c r="C26">
        <v>7.3</v>
      </c>
      <c r="D26" t="s">
        <v>8</v>
      </c>
      <c r="E26">
        <v>5.2</v>
      </c>
      <c r="F26" t="s">
        <v>34</v>
      </c>
      <c r="G26" t="str">
        <f t="shared" si="0"/>
        <v>5-10</v>
      </c>
    </row>
    <row r="27" spans="1:7" x14ac:dyDescent="0.25">
      <c r="A27" t="s">
        <v>50</v>
      </c>
      <c r="B27" t="s">
        <v>11</v>
      </c>
      <c r="C27">
        <v>8.1</v>
      </c>
      <c r="D27" t="s">
        <v>8</v>
      </c>
      <c r="E27">
        <v>6.2</v>
      </c>
      <c r="F27" t="s">
        <v>9</v>
      </c>
      <c r="G27" t="str">
        <f t="shared" si="0"/>
        <v>5-10</v>
      </c>
    </row>
    <row r="28" spans="1:7" x14ac:dyDescent="0.25">
      <c r="A28" t="s">
        <v>51</v>
      </c>
      <c r="B28" t="s">
        <v>20</v>
      </c>
      <c r="C28">
        <v>7.6</v>
      </c>
      <c r="D28" t="s">
        <v>8</v>
      </c>
      <c r="E28">
        <v>4.7</v>
      </c>
      <c r="F28" t="s">
        <v>21</v>
      </c>
      <c r="G28" t="str">
        <f t="shared" si="0"/>
        <v>0-5</v>
      </c>
    </row>
    <row r="29" spans="1:7" x14ac:dyDescent="0.25">
      <c r="A29" t="s">
        <v>52</v>
      </c>
      <c r="B29" t="s">
        <v>7</v>
      </c>
      <c r="C29">
        <v>9.1999999999999993</v>
      </c>
      <c r="D29" t="s">
        <v>8</v>
      </c>
      <c r="E29">
        <v>13</v>
      </c>
      <c r="F29" t="s">
        <v>30</v>
      </c>
      <c r="G29" t="str">
        <f t="shared" si="0"/>
        <v>10+</v>
      </c>
    </row>
    <row r="30" spans="1:7" x14ac:dyDescent="0.25">
      <c r="A30" t="s">
        <v>53</v>
      </c>
      <c r="B30" t="s">
        <v>14</v>
      </c>
      <c r="C30">
        <v>6.8</v>
      </c>
      <c r="D30" t="s">
        <v>15</v>
      </c>
      <c r="E30">
        <v>0</v>
      </c>
      <c r="F30" t="s">
        <v>16</v>
      </c>
      <c r="G30" t="str">
        <f t="shared" si="0"/>
        <v>Unplaced</v>
      </c>
    </row>
    <row r="31" spans="1:7" x14ac:dyDescent="0.25">
      <c r="A31" t="s">
        <v>54</v>
      </c>
      <c r="B31" t="s">
        <v>11</v>
      </c>
      <c r="C31">
        <v>8.4</v>
      </c>
      <c r="D31" t="s">
        <v>8</v>
      </c>
      <c r="E31">
        <v>7</v>
      </c>
      <c r="F31" t="s">
        <v>12</v>
      </c>
      <c r="G31" t="str">
        <f t="shared" si="0"/>
        <v>5-10</v>
      </c>
    </row>
    <row r="35" spans="1:12" x14ac:dyDescent="0.25">
      <c r="A35" s="2"/>
      <c r="B35" s="3"/>
      <c r="E35" s="10" t="s">
        <v>65</v>
      </c>
      <c r="F35" s="10"/>
      <c r="G35" s="10"/>
      <c r="H35" s="10"/>
      <c r="I35" s="10"/>
      <c r="J35" s="10"/>
    </row>
    <row r="36" spans="1:12" x14ac:dyDescent="0.25">
      <c r="A36" s="2"/>
      <c r="B36" s="3"/>
      <c r="E36" s="10"/>
      <c r="F36" s="10"/>
      <c r="G36" s="10"/>
      <c r="H36" s="10"/>
      <c r="I36" s="10"/>
      <c r="J36" s="10"/>
    </row>
    <row r="37" spans="1:12" x14ac:dyDescent="0.25">
      <c r="A37" s="2"/>
      <c r="B37" s="3"/>
      <c r="E37" s="10"/>
      <c r="F37" s="10"/>
      <c r="G37" s="10"/>
      <c r="H37" s="10"/>
      <c r="I37" s="10"/>
      <c r="J37" s="10"/>
    </row>
    <row r="38" spans="1:12" x14ac:dyDescent="0.25">
      <c r="A38" s="2"/>
      <c r="B38" s="3"/>
    </row>
    <row r="39" spans="1:12" x14ac:dyDescent="0.25">
      <c r="A39" s="2"/>
      <c r="B39" s="3"/>
    </row>
    <row r="40" spans="1:12" x14ac:dyDescent="0.25">
      <c r="A40" s="2"/>
      <c r="B40" s="3"/>
      <c r="G40" s="1" t="s">
        <v>62</v>
      </c>
      <c r="H40" t="s">
        <v>64</v>
      </c>
    </row>
    <row r="41" spans="1:12" x14ac:dyDescent="0.25">
      <c r="G41" s="2" t="s">
        <v>28</v>
      </c>
      <c r="H41" s="3">
        <v>3</v>
      </c>
    </row>
    <row r="42" spans="1:12" ht="15" customHeight="1" x14ac:dyDescent="0.25">
      <c r="C42" s="9"/>
      <c r="D42" s="9"/>
      <c r="E42" s="9"/>
      <c r="F42" s="9"/>
      <c r="G42" s="2" t="s">
        <v>7</v>
      </c>
      <c r="H42" s="3">
        <v>9</v>
      </c>
      <c r="I42" s="9"/>
      <c r="J42" s="9"/>
      <c r="K42" s="9"/>
      <c r="L42" s="9"/>
    </row>
    <row r="43" spans="1:12" ht="15" customHeight="1" x14ac:dyDescent="0.25">
      <c r="C43" s="9"/>
      <c r="D43" s="9"/>
      <c r="E43" s="9"/>
      <c r="F43" s="9"/>
      <c r="G43" s="2" t="s">
        <v>14</v>
      </c>
      <c r="H43" s="3">
        <v>7</v>
      </c>
      <c r="I43" s="9"/>
      <c r="J43" s="9"/>
      <c r="K43" s="9"/>
      <c r="L43" s="9"/>
    </row>
    <row r="44" spans="1:12" ht="15" customHeight="1" x14ac:dyDescent="0.25">
      <c r="C44" s="9"/>
      <c r="D44" s="9"/>
      <c r="E44" s="9"/>
      <c r="F44" s="9"/>
      <c r="G44" s="2" t="s">
        <v>11</v>
      </c>
      <c r="H44" s="3">
        <v>7</v>
      </c>
      <c r="I44" s="9"/>
      <c r="J44" s="9"/>
      <c r="K44" s="9"/>
      <c r="L44" s="9"/>
    </row>
    <row r="45" spans="1:12" x14ac:dyDescent="0.25">
      <c r="G45" s="2" t="s">
        <v>20</v>
      </c>
      <c r="H45" s="3">
        <v>4</v>
      </c>
    </row>
    <row r="46" spans="1:12" x14ac:dyDescent="0.25">
      <c r="G46" s="2" t="s">
        <v>63</v>
      </c>
      <c r="H46" s="3">
        <v>30</v>
      </c>
    </row>
    <row r="47" spans="1:12" x14ac:dyDescent="0.25">
      <c r="G47" s="2"/>
      <c r="H47" s="3"/>
    </row>
    <row r="48" spans="1:12" x14ac:dyDescent="0.25">
      <c r="G48" s="2"/>
      <c r="H48" s="3"/>
    </row>
    <row r="65" spans="1:15" ht="15" customHeight="1" x14ac:dyDescent="0.25">
      <c r="A65" s="6" t="s">
        <v>69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1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ht="1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87" spans="2:14" ht="15" customHeight="1" x14ac:dyDescent="0.25">
      <c r="E87" s="9"/>
      <c r="F87" s="9"/>
      <c r="G87" s="9"/>
      <c r="H87" s="9"/>
      <c r="I87" s="9"/>
      <c r="J87" s="9"/>
      <c r="K87" s="9"/>
    </row>
    <row r="88" spans="2:14" ht="15" customHeight="1" x14ac:dyDescent="0.25">
      <c r="E88" s="9"/>
      <c r="F88" s="9"/>
      <c r="G88" s="9"/>
      <c r="H88" s="9"/>
      <c r="I88" s="9"/>
      <c r="J88" s="9"/>
      <c r="K88" s="9"/>
    </row>
    <row r="89" spans="2:14" ht="15" customHeight="1" x14ac:dyDescent="0.25">
      <c r="B89" s="6" t="s">
        <v>81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2:14" x14ac:dyDescent="0.2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2:14" x14ac:dyDescent="0.2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2:14" x14ac:dyDescent="0.25">
      <c r="E92" s="5"/>
      <c r="F92" s="5"/>
      <c r="G92" s="5"/>
      <c r="H92" s="5"/>
    </row>
    <row r="93" spans="2:14" x14ac:dyDescent="0.25">
      <c r="E93" s="5"/>
      <c r="F93" s="5"/>
      <c r="G93" s="1" t="s">
        <v>62</v>
      </c>
      <c r="H93" t="s">
        <v>80</v>
      </c>
    </row>
    <row r="94" spans="2:14" x14ac:dyDescent="0.25">
      <c r="E94" s="5"/>
      <c r="F94" s="5"/>
      <c r="G94" s="2" t="s">
        <v>75</v>
      </c>
      <c r="H94" s="3">
        <v>5</v>
      </c>
    </row>
    <row r="95" spans="2:14" x14ac:dyDescent="0.25">
      <c r="E95" s="5"/>
      <c r="F95" s="5"/>
      <c r="G95" s="2" t="s">
        <v>76</v>
      </c>
      <c r="H95" s="3">
        <v>6</v>
      </c>
    </row>
    <row r="96" spans="2:14" x14ac:dyDescent="0.25">
      <c r="E96" s="5"/>
      <c r="F96" s="5"/>
      <c r="G96" s="2" t="s">
        <v>77</v>
      </c>
      <c r="H96" s="3">
        <v>12</v>
      </c>
    </row>
    <row r="97" spans="5:8" x14ac:dyDescent="0.25">
      <c r="E97" s="5"/>
      <c r="F97" s="5"/>
      <c r="G97" s="2" t="s">
        <v>78</v>
      </c>
      <c r="H97" s="3">
        <v>7</v>
      </c>
    </row>
    <row r="98" spans="5:8" x14ac:dyDescent="0.25">
      <c r="E98" s="5"/>
      <c r="F98" s="5"/>
      <c r="G98" s="2" t="s">
        <v>79</v>
      </c>
      <c r="H98" s="3"/>
    </row>
    <row r="99" spans="5:8" x14ac:dyDescent="0.25">
      <c r="E99" s="5"/>
      <c r="F99" s="5"/>
      <c r="G99" s="2" t="s">
        <v>63</v>
      </c>
      <c r="H99" s="3">
        <v>30</v>
      </c>
    </row>
    <row r="100" spans="5:8" x14ac:dyDescent="0.25">
      <c r="E100" s="5"/>
      <c r="F100" s="5"/>
      <c r="G100" s="5"/>
      <c r="H100" s="5"/>
    </row>
    <row r="101" spans="5:8" x14ac:dyDescent="0.25">
      <c r="E101" s="5"/>
      <c r="F101" s="5"/>
      <c r="G101" s="5"/>
      <c r="H101" s="5"/>
    </row>
    <row r="102" spans="5:8" x14ac:dyDescent="0.25">
      <c r="E102" s="5"/>
      <c r="F102" s="5"/>
      <c r="G102" s="5"/>
      <c r="H102" s="5"/>
    </row>
    <row r="103" spans="5:8" x14ac:dyDescent="0.25">
      <c r="E103" s="5"/>
      <c r="F103" s="5"/>
      <c r="G103" s="5"/>
      <c r="H103" s="5"/>
    </row>
    <row r="104" spans="5:8" x14ac:dyDescent="0.25">
      <c r="E104" s="5"/>
      <c r="F104" s="5"/>
      <c r="G104" s="5"/>
      <c r="H104" s="5"/>
    </row>
    <row r="105" spans="5:8" x14ac:dyDescent="0.25">
      <c r="E105" s="5"/>
      <c r="F105" s="5"/>
      <c r="G105" s="5"/>
      <c r="H105" s="5"/>
    </row>
    <row r="106" spans="5:8" x14ac:dyDescent="0.25">
      <c r="E106" s="5"/>
      <c r="F106" s="5"/>
      <c r="G106" s="5"/>
      <c r="H106" s="5"/>
    </row>
    <row r="107" spans="5:8" x14ac:dyDescent="0.25">
      <c r="E107" s="5"/>
      <c r="F107" s="5"/>
      <c r="G107" s="5"/>
      <c r="H107" s="5"/>
    </row>
    <row r="108" spans="5:8" x14ac:dyDescent="0.25">
      <c r="E108" s="5"/>
      <c r="F108" s="5"/>
      <c r="G108" s="5"/>
      <c r="H108" s="5"/>
    </row>
    <row r="109" spans="5:8" x14ac:dyDescent="0.25">
      <c r="E109" s="5"/>
      <c r="F109" s="5"/>
      <c r="G109" s="5"/>
      <c r="H109" s="5"/>
    </row>
    <row r="110" spans="5:8" x14ac:dyDescent="0.25">
      <c r="E110" s="5"/>
      <c r="F110" s="5"/>
      <c r="G110" s="5"/>
      <c r="H110" s="5"/>
    </row>
    <row r="111" spans="5:8" x14ac:dyDescent="0.25">
      <c r="E111" s="5"/>
      <c r="F111" s="5"/>
      <c r="G111" s="5"/>
      <c r="H111" s="5"/>
    </row>
    <row r="112" spans="5:8" x14ac:dyDescent="0.25">
      <c r="E112" s="5"/>
      <c r="F112" s="5"/>
      <c r="G112" s="5"/>
      <c r="H112" s="5"/>
    </row>
    <row r="113" spans="3:12" x14ac:dyDescent="0.25">
      <c r="E113" s="5"/>
      <c r="F113" s="5"/>
      <c r="G113" s="5"/>
      <c r="H113" s="5"/>
    </row>
    <row r="114" spans="3:12" x14ac:dyDescent="0.25">
      <c r="E114" s="5"/>
      <c r="F114" s="5"/>
      <c r="G114" s="5"/>
      <c r="H114" s="5"/>
    </row>
    <row r="115" spans="3:12" x14ac:dyDescent="0.25">
      <c r="E115" s="5"/>
      <c r="F115" s="5"/>
      <c r="G115" s="5"/>
      <c r="H115" s="5"/>
    </row>
    <row r="116" spans="3:12" x14ac:dyDescent="0.25">
      <c r="E116" s="5"/>
      <c r="F116" s="5"/>
      <c r="G116" s="5"/>
      <c r="H116" s="5"/>
    </row>
    <row r="117" spans="3:12" x14ac:dyDescent="0.25">
      <c r="E117" s="5"/>
      <c r="F117" s="5"/>
      <c r="G117" s="5"/>
      <c r="H117" s="5"/>
    </row>
    <row r="118" spans="3:12" x14ac:dyDescent="0.25">
      <c r="E118" s="5"/>
      <c r="F118" s="5"/>
      <c r="G118" s="5"/>
      <c r="H118" s="5"/>
    </row>
    <row r="119" spans="3:12" x14ac:dyDescent="0.25">
      <c r="C119" s="6" t="s">
        <v>70</v>
      </c>
      <c r="D119" s="6"/>
      <c r="E119" s="6"/>
      <c r="F119" s="6"/>
      <c r="G119" s="6"/>
      <c r="H119" s="6"/>
      <c r="I119" s="6"/>
      <c r="J119" s="6"/>
      <c r="K119" s="6"/>
      <c r="L119" s="6"/>
    </row>
    <row r="120" spans="3:12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3:12" x14ac:dyDescent="0.25"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3" spans="3:12" x14ac:dyDescent="0.25">
      <c r="G123" s="4" t="s">
        <v>2</v>
      </c>
      <c r="H123" s="4" t="s">
        <v>4</v>
      </c>
    </row>
    <row r="124" spans="3:12" x14ac:dyDescent="0.25">
      <c r="G124" s="4">
        <v>8.5</v>
      </c>
      <c r="H124" s="4">
        <v>6.5</v>
      </c>
    </row>
    <row r="125" spans="3:12" x14ac:dyDescent="0.25">
      <c r="G125" s="4">
        <v>7.8</v>
      </c>
      <c r="H125" s="4">
        <v>5.2</v>
      </c>
    </row>
    <row r="126" spans="3:12" x14ac:dyDescent="0.25">
      <c r="G126" s="4">
        <v>6.9</v>
      </c>
      <c r="H126" s="4">
        <v>0</v>
      </c>
    </row>
    <row r="127" spans="3:12" x14ac:dyDescent="0.25">
      <c r="G127" s="4">
        <v>9.1</v>
      </c>
      <c r="H127" s="4">
        <v>12</v>
      </c>
    </row>
    <row r="128" spans="3:12" x14ac:dyDescent="0.25">
      <c r="G128" s="4">
        <v>7.2</v>
      </c>
      <c r="H128" s="4">
        <v>4</v>
      </c>
    </row>
    <row r="129" spans="3:13" x14ac:dyDescent="0.25">
      <c r="G129" s="4">
        <v>8.8000000000000007</v>
      </c>
      <c r="H129" s="4">
        <v>10.5</v>
      </c>
    </row>
    <row r="130" spans="3:13" x14ac:dyDescent="0.25">
      <c r="G130" s="4">
        <v>6.5</v>
      </c>
      <c r="H130" s="4">
        <v>0</v>
      </c>
    </row>
    <row r="131" spans="3:13" x14ac:dyDescent="0.25">
      <c r="G131" s="4">
        <v>7.9</v>
      </c>
      <c r="H131" s="4">
        <v>5.8</v>
      </c>
    </row>
    <row r="132" spans="3:13" x14ac:dyDescent="0.25">
      <c r="G132" s="4">
        <v>6.8</v>
      </c>
      <c r="H132" s="4">
        <v>0</v>
      </c>
    </row>
    <row r="133" spans="3:13" x14ac:dyDescent="0.25">
      <c r="G133" s="4">
        <v>9.3000000000000007</v>
      </c>
      <c r="H133" s="4">
        <v>14</v>
      </c>
    </row>
    <row r="134" spans="3:13" x14ac:dyDescent="0.25">
      <c r="G134" s="4">
        <v>7.5</v>
      </c>
      <c r="H134" s="4">
        <v>4.5</v>
      </c>
    </row>
    <row r="135" spans="3:13" x14ac:dyDescent="0.25">
      <c r="G135" s="4">
        <v>8</v>
      </c>
      <c r="H135" s="4">
        <v>6</v>
      </c>
    </row>
    <row r="136" spans="3:13" x14ac:dyDescent="0.25">
      <c r="G136" s="4">
        <v>8.1999999999999993</v>
      </c>
      <c r="H136" s="4">
        <v>7</v>
      </c>
    </row>
    <row r="137" spans="3:13" x14ac:dyDescent="0.25">
      <c r="G137" s="4">
        <v>7.1</v>
      </c>
      <c r="H137" s="4">
        <v>4.8</v>
      </c>
    </row>
    <row r="138" spans="3:13" x14ac:dyDescent="0.25">
      <c r="G138" s="4">
        <v>6.7</v>
      </c>
      <c r="H138" s="4">
        <v>0</v>
      </c>
    </row>
    <row r="139" spans="3:13" x14ac:dyDescent="0.25">
      <c r="G139" s="4">
        <v>9</v>
      </c>
      <c r="H139" s="4">
        <v>11</v>
      </c>
    </row>
    <row r="140" spans="3:13" x14ac:dyDescent="0.25">
      <c r="G140" s="4">
        <v>7.4</v>
      </c>
      <c r="H140" s="4">
        <v>5.5</v>
      </c>
    </row>
    <row r="141" spans="3:13" ht="15" customHeight="1" x14ac:dyDescent="0.25">
      <c r="C141" s="9"/>
      <c r="D141" s="9"/>
      <c r="E141" s="9"/>
      <c r="F141" s="9"/>
      <c r="G141" s="4">
        <v>8.3000000000000007</v>
      </c>
      <c r="H141" s="4">
        <v>6.8</v>
      </c>
      <c r="I141" s="9"/>
      <c r="J141" s="9"/>
      <c r="K141" s="9"/>
      <c r="L141" s="9"/>
      <c r="M141" s="9"/>
    </row>
    <row r="142" spans="3:13" ht="15" customHeight="1" x14ac:dyDescent="0.25">
      <c r="C142" s="9"/>
      <c r="D142" s="9"/>
      <c r="E142" s="9"/>
      <c r="F142" s="9"/>
      <c r="G142" s="4">
        <v>6.9</v>
      </c>
      <c r="H142" s="4">
        <v>0</v>
      </c>
      <c r="I142" s="9"/>
      <c r="J142" s="9"/>
      <c r="K142" s="9"/>
      <c r="L142" s="9"/>
      <c r="M142" s="9"/>
    </row>
    <row r="143" spans="3:13" ht="15" customHeight="1" x14ac:dyDescent="0.25">
      <c r="C143" s="9"/>
      <c r="D143" s="9"/>
      <c r="E143" s="9"/>
      <c r="F143" s="9"/>
      <c r="G143" s="4">
        <v>9.5</v>
      </c>
      <c r="H143" s="4">
        <v>15</v>
      </c>
      <c r="I143" s="9"/>
      <c r="J143" s="9"/>
      <c r="K143" s="9"/>
      <c r="L143" s="9"/>
      <c r="M143" s="9"/>
    </row>
    <row r="144" spans="3:13" x14ac:dyDescent="0.25">
      <c r="G144" s="4">
        <v>7</v>
      </c>
      <c r="H144" s="4">
        <v>4.9000000000000004</v>
      </c>
    </row>
    <row r="145" spans="6:8" x14ac:dyDescent="0.25">
      <c r="G145" s="4">
        <v>8.6</v>
      </c>
      <c r="H145" s="4">
        <v>7.5</v>
      </c>
    </row>
    <row r="146" spans="6:8" x14ac:dyDescent="0.25">
      <c r="G146" s="4">
        <v>6.4</v>
      </c>
      <c r="H146" s="4">
        <v>0</v>
      </c>
    </row>
    <row r="147" spans="6:8" x14ac:dyDescent="0.25">
      <c r="F147" s="2"/>
      <c r="G147" s="4">
        <v>8.9</v>
      </c>
      <c r="H147" s="4">
        <v>10</v>
      </c>
    </row>
    <row r="148" spans="6:8" x14ac:dyDescent="0.25">
      <c r="F148" s="2"/>
      <c r="G148" s="4">
        <v>7.3</v>
      </c>
      <c r="H148" s="4">
        <v>5.2</v>
      </c>
    </row>
    <row r="149" spans="6:8" x14ac:dyDescent="0.25">
      <c r="F149" s="2"/>
      <c r="G149" s="4">
        <v>8.1</v>
      </c>
      <c r="H149" s="4">
        <v>6.2</v>
      </c>
    </row>
    <row r="150" spans="6:8" x14ac:dyDescent="0.25">
      <c r="F150" s="2"/>
      <c r="G150" s="4">
        <v>7.6</v>
      </c>
      <c r="H150" s="4">
        <v>4.7</v>
      </c>
    </row>
    <row r="151" spans="6:8" x14ac:dyDescent="0.25">
      <c r="F151" s="2"/>
      <c r="G151" s="4">
        <v>9.1999999999999993</v>
      </c>
      <c r="H151" s="4">
        <v>13</v>
      </c>
    </row>
    <row r="152" spans="6:8" x14ac:dyDescent="0.25">
      <c r="F152" s="2"/>
      <c r="G152" s="4">
        <v>6.8</v>
      </c>
      <c r="H152" s="4">
        <v>0</v>
      </c>
    </row>
    <row r="153" spans="6:8" x14ac:dyDescent="0.25">
      <c r="F153" s="2"/>
      <c r="G153" s="4">
        <v>8.4</v>
      </c>
      <c r="H153" s="4">
        <v>7</v>
      </c>
    </row>
    <row r="154" spans="6:8" x14ac:dyDescent="0.25">
      <c r="F154" s="2"/>
      <c r="G154" s="3"/>
    </row>
    <row r="155" spans="6:8" x14ac:dyDescent="0.25">
      <c r="F155" s="2"/>
      <c r="G155" s="3"/>
    </row>
    <row r="156" spans="6:8" x14ac:dyDescent="0.25">
      <c r="F156" s="2"/>
      <c r="G156" s="3"/>
    </row>
    <row r="157" spans="6:8" x14ac:dyDescent="0.25">
      <c r="F157" s="2"/>
      <c r="G157" s="3"/>
    </row>
    <row r="158" spans="6:8" x14ac:dyDescent="0.25">
      <c r="F158" s="2"/>
      <c r="G158" s="3"/>
    </row>
    <row r="159" spans="6:8" x14ac:dyDescent="0.25">
      <c r="F159" s="2"/>
      <c r="G159" s="3"/>
    </row>
    <row r="171" spans="1:17" ht="1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1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ht="1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ht="1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ht="1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ht="15" customHeight="1" x14ac:dyDescent="0.25">
      <c r="A176" s="6" t="s">
        <v>71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9"/>
    </row>
    <row r="177" spans="1:17" ht="1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9"/>
    </row>
    <row r="178" spans="1:17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7" x14ac:dyDescent="0.25">
      <c r="G179" s="1" t="s">
        <v>62</v>
      </c>
      <c r="H179" t="s">
        <v>72</v>
      </c>
    </row>
    <row r="180" spans="1:17" x14ac:dyDescent="0.25">
      <c r="G180" s="2" t="s">
        <v>36</v>
      </c>
      <c r="H180" s="3">
        <v>2</v>
      </c>
    </row>
    <row r="181" spans="1:17" x14ac:dyDescent="0.25">
      <c r="G181" s="2" t="s">
        <v>18</v>
      </c>
      <c r="H181" s="3">
        <v>2</v>
      </c>
    </row>
    <row r="182" spans="1:17" x14ac:dyDescent="0.25">
      <c r="G182" s="2" t="s">
        <v>34</v>
      </c>
      <c r="H182" s="3">
        <v>2</v>
      </c>
    </row>
    <row r="183" spans="1:17" x14ac:dyDescent="0.25">
      <c r="G183" s="2" t="s">
        <v>23</v>
      </c>
      <c r="H183" s="3">
        <v>2</v>
      </c>
    </row>
    <row r="184" spans="1:17" x14ac:dyDescent="0.25">
      <c r="G184" s="2" t="s">
        <v>41</v>
      </c>
      <c r="H184" s="3">
        <v>1</v>
      </c>
    </row>
    <row r="185" spans="1:17" x14ac:dyDescent="0.25">
      <c r="G185" s="2" t="s">
        <v>12</v>
      </c>
      <c r="H185" s="3">
        <v>4</v>
      </c>
    </row>
    <row r="186" spans="1:17" x14ac:dyDescent="0.25">
      <c r="F186" s="2"/>
      <c r="G186" s="2" t="s">
        <v>21</v>
      </c>
      <c r="H186" s="3">
        <v>2</v>
      </c>
    </row>
    <row r="187" spans="1:17" x14ac:dyDescent="0.25">
      <c r="F187" s="2"/>
      <c r="G187" s="2" t="s">
        <v>30</v>
      </c>
      <c r="H187" s="3">
        <v>2</v>
      </c>
    </row>
    <row r="188" spans="1:17" x14ac:dyDescent="0.25">
      <c r="F188" s="2"/>
      <c r="G188" s="2" t="s">
        <v>16</v>
      </c>
      <c r="H188" s="3">
        <v>7</v>
      </c>
    </row>
    <row r="189" spans="1:17" x14ac:dyDescent="0.25">
      <c r="F189" s="2"/>
      <c r="G189" s="2" t="s">
        <v>32</v>
      </c>
      <c r="H189" s="3">
        <v>1</v>
      </c>
    </row>
    <row r="190" spans="1:17" x14ac:dyDescent="0.25">
      <c r="F190" s="2"/>
      <c r="G190" s="2" t="s">
        <v>9</v>
      </c>
      <c r="H190" s="3">
        <v>3</v>
      </c>
    </row>
    <row r="191" spans="1:17" x14ac:dyDescent="0.25">
      <c r="F191" s="2"/>
      <c r="G191" s="2" t="s">
        <v>26</v>
      </c>
      <c r="H191" s="3">
        <v>2</v>
      </c>
    </row>
    <row r="192" spans="1:17" x14ac:dyDescent="0.25">
      <c r="G192" s="2" t="s">
        <v>63</v>
      </c>
      <c r="H192" s="3">
        <v>30</v>
      </c>
    </row>
    <row r="204" spans="7:8" x14ac:dyDescent="0.25">
      <c r="G204" s="2"/>
      <c r="H204" s="3"/>
    </row>
    <row r="205" spans="7:8" x14ac:dyDescent="0.25">
      <c r="G205" s="2"/>
      <c r="H205" s="3"/>
    </row>
    <row r="206" spans="7:8" x14ac:dyDescent="0.25">
      <c r="G206" s="2"/>
      <c r="H206" s="3"/>
    </row>
    <row r="207" spans="7:8" x14ac:dyDescent="0.25">
      <c r="G207" s="2"/>
      <c r="H207" s="3"/>
    </row>
    <row r="208" spans="7:8" x14ac:dyDescent="0.25">
      <c r="G208" s="2"/>
      <c r="H208" s="3"/>
    </row>
    <row r="209" spans="5:10" x14ac:dyDescent="0.25">
      <c r="G209" s="2"/>
      <c r="H209" s="3"/>
    </row>
    <row r="214" spans="5:10" x14ac:dyDescent="0.25">
      <c r="E214" s="10" t="s">
        <v>82</v>
      </c>
      <c r="F214" s="10"/>
      <c r="G214" s="10"/>
      <c r="H214" s="10"/>
      <c r="I214" s="10"/>
      <c r="J214" s="10"/>
    </row>
    <row r="215" spans="5:10" x14ac:dyDescent="0.25">
      <c r="E215" s="10"/>
      <c r="F215" s="10"/>
      <c r="G215" s="10"/>
      <c r="H215" s="10"/>
      <c r="I215" s="10"/>
      <c r="J215" s="10"/>
    </row>
    <row r="216" spans="5:10" x14ac:dyDescent="0.25">
      <c r="E216" s="10"/>
      <c r="F216" s="10"/>
      <c r="G216" s="10"/>
      <c r="H216" s="10"/>
      <c r="I216" s="10"/>
      <c r="J216" s="10"/>
    </row>
    <row r="218" spans="5:10" x14ac:dyDescent="0.25">
      <c r="G218" s="1" t="s">
        <v>62</v>
      </c>
      <c r="H218" t="s">
        <v>73</v>
      </c>
      <c r="I218" s="5"/>
    </row>
    <row r="219" spans="5:10" x14ac:dyDescent="0.25">
      <c r="F219" s="2"/>
      <c r="G219" s="2" t="s">
        <v>28</v>
      </c>
      <c r="H219" s="3">
        <v>0</v>
      </c>
      <c r="I219" s="5"/>
    </row>
    <row r="220" spans="5:10" x14ac:dyDescent="0.25">
      <c r="F220" s="2"/>
      <c r="G220" s="2" t="s">
        <v>7</v>
      </c>
      <c r="H220" s="3">
        <v>11</v>
      </c>
      <c r="I220" s="5"/>
    </row>
    <row r="221" spans="5:10" x14ac:dyDescent="0.25">
      <c r="F221" s="2"/>
      <c r="G221" s="2" t="s">
        <v>14</v>
      </c>
      <c r="H221" s="3">
        <v>3.0857142857142854</v>
      </c>
      <c r="I221" s="5"/>
    </row>
    <row r="222" spans="5:10" x14ac:dyDescent="0.25">
      <c r="F222" s="2"/>
      <c r="G222" s="2" t="s">
        <v>11</v>
      </c>
      <c r="H222" s="3">
        <v>6.1857142857142859</v>
      </c>
      <c r="I222" s="5"/>
    </row>
    <row r="223" spans="5:10" x14ac:dyDescent="0.25">
      <c r="F223" s="2"/>
      <c r="G223" s="2" t="s">
        <v>20</v>
      </c>
      <c r="H223" s="3">
        <v>3.3</v>
      </c>
      <c r="I223" s="5"/>
    </row>
    <row r="224" spans="5:10" x14ac:dyDescent="0.25">
      <c r="F224" s="2"/>
      <c r="G224" s="2" t="s">
        <v>63</v>
      </c>
      <c r="H224" s="3">
        <v>5.9033333333333342</v>
      </c>
      <c r="I224" s="5"/>
    </row>
    <row r="225" spans="7:11" x14ac:dyDescent="0.25">
      <c r="G225" s="2"/>
      <c r="H225" s="3"/>
      <c r="I225" s="5"/>
    </row>
    <row r="226" spans="7:11" x14ac:dyDescent="0.25">
      <c r="G226" s="2"/>
      <c r="H226" s="3"/>
      <c r="I226" s="5"/>
    </row>
    <row r="230" spans="7:11" x14ac:dyDescent="0.25">
      <c r="J230" s="5"/>
      <c r="K230" s="5"/>
    </row>
    <row r="231" spans="7:11" x14ac:dyDescent="0.25">
      <c r="J231" s="5"/>
      <c r="K231" s="5"/>
    </row>
    <row r="232" spans="7:11" x14ac:dyDescent="0.25">
      <c r="J232" s="5"/>
      <c r="K232" s="5"/>
    </row>
    <row r="233" spans="7:11" x14ac:dyDescent="0.25">
      <c r="J233" s="5"/>
      <c r="K233" s="5"/>
    </row>
    <row r="234" spans="7:11" x14ac:dyDescent="0.25">
      <c r="J234" s="5"/>
      <c r="K234" s="5"/>
    </row>
    <row r="235" spans="7:11" x14ac:dyDescent="0.25">
      <c r="J235" s="5"/>
      <c r="K235" s="5"/>
    </row>
    <row r="236" spans="7:11" x14ac:dyDescent="0.25">
      <c r="K236" s="5"/>
    </row>
    <row r="237" spans="7:11" x14ac:dyDescent="0.25">
      <c r="I237" s="2"/>
      <c r="J237" s="3"/>
      <c r="K237" s="5"/>
    </row>
    <row r="238" spans="7:11" x14ac:dyDescent="0.25">
      <c r="I238" s="2"/>
      <c r="J238" s="3"/>
      <c r="K238" s="5"/>
    </row>
    <row r="239" spans="7:11" x14ac:dyDescent="0.25">
      <c r="I239" s="2"/>
      <c r="J239" s="3"/>
      <c r="K239" s="5"/>
    </row>
    <row r="240" spans="7:11" x14ac:dyDescent="0.25">
      <c r="I240" s="2"/>
      <c r="J240" s="3"/>
      <c r="K240" s="5"/>
    </row>
    <row r="241" spans="9:11" x14ac:dyDescent="0.25">
      <c r="I241" s="2"/>
      <c r="J241" s="3"/>
      <c r="K241" s="5"/>
    </row>
    <row r="242" spans="9:11" x14ac:dyDescent="0.25">
      <c r="I242" s="2"/>
      <c r="J242" s="3"/>
      <c r="K242" s="5"/>
    </row>
    <row r="243" spans="9:11" x14ac:dyDescent="0.25">
      <c r="J243" s="5"/>
      <c r="K243" s="5"/>
    </row>
    <row r="244" spans="9:11" x14ac:dyDescent="0.25">
      <c r="J244" s="5"/>
      <c r="K244" s="5"/>
    </row>
    <row r="245" spans="9:11" x14ac:dyDescent="0.25">
      <c r="J245" s="5"/>
      <c r="K245" s="5"/>
    </row>
    <row r="246" spans="9:11" x14ac:dyDescent="0.25">
      <c r="J246" s="5"/>
      <c r="K246" s="5"/>
    </row>
    <row r="247" spans="9:11" x14ac:dyDescent="0.25">
      <c r="J247" s="5"/>
      <c r="K247" s="5"/>
    </row>
    <row r="248" spans="9:11" x14ac:dyDescent="0.25">
      <c r="J248" s="5"/>
      <c r="K248" s="5"/>
    </row>
    <row r="249" spans="9:11" x14ac:dyDescent="0.25">
      <c r="J249" s="5"/>
      <c r="K249" s="5"/>
    </row>
    <row r="250" spans="9:11" x14ac:dyDescent="0.25">
      <c r="J250" s="5"/>
      <c r="K250" s="5"/>
    </row>
    <row r="251" spans="9:11" x14ac:dyDescent="0.25">
      <c r="J251" s="5"/>
      <c r="K251" s="5"/>
    </row>
    <row r="252" spans="9:11" x14ac:dyDescent="0.25">
      <c r="J252" s="5"/>
      <c r="K252" s="5"/>
    </row>
    <row r="253" spans="9:11" x14ac:dyDescent="0.25">
      <c r="J253" s="5"/>
      <c r="K253" s="5"/>
    </row>
    <row r="254" spans="9:11" x14ac:dyDescent="0.25">
      <c r="J254" s="5"/>
      <c r="K254" s="5"/>
    </row>
    <row r="255" spans="9:11" x14ac:dyDescent="0.25">
      <c r="J255" s="5"/>
      <c r="K255" s="5"/>
    </row>
    <row r="256" spans="9:11" x14ac:dyDescent="0.25">
      <c r="J256" s="5"/>
      <c r="K256" s="5"/>
    </row>
    <row r="257" spans="7:11" x14ac:dyDescent="0.25">
      <c r="J257" s="5"/>
      <c r="K257" s="5"/>
    </row>
    <row r="258" spans="7:11" x14ac:dyDescent="0.25">
      <c r="J258" s="5"/>
      <c r="K258" s="5"/>
    </row>
    <row r="259" spans="7:11" x14ac:dyDescent="0.25">
      <c r="J259" s="5"/>
      <c r="K259" s="5"/>
    </row>
    <row r="260" spans="7:11" x14ac:dyDescent="0.25">
      <c r="J260" s="5"/>
      <c r="K260" s="5"/>
    </row>
    <row r="266" spans="7:11" x14ac:dyDescent="0.25">
      <c r="G266" s="2"/>
      <c r="H266" s="3"/>
    </row>
    <row r="267" spans="7:11" x14ac:dyDescent="0.25">
      <c r="G267" s="2"/>
      <c r="H267" s="3"/>
    </row>
    <row r="268" spans="7:11" x14ac:dyDescent="0.25">
      <c r="G268" s="2"/>
      <c r="H268" s="3"/>
    </row>
    <row r="269" spans="7:11" x14ac:dyDescent="0.25">
      <c r="G269" s="2"/>
      <c r="H269" s="3"/>
    </row>
    <row r="270" spans="7:11" x14ac:dyDescent="0.25">
      <c r="G270" s="2"/>
      <c r="H270" s="3"/>
    </row>
    <row r="271" spans="7:11" x14ac:dyDescent="0.25">
      <c r="G271" s="2"/>
      <c r="H271" s="3"/>
    </row>
  </sheetData>
  <mergeCells count="6">
    <mergeCell ref="E214:J216"/>
    <mergeCell ref="E35:J37"/>
    <mergeCell ref="A65:O67"/>
    <mergeCell ref="B89:N91"/>
    <mergeCell ref="C119:L121"/>
    <mergeCell ref="A176:P178"/>
  </mergeCells>
  <pageMargins left="0.7" right="0.7" top="0.75" bottom="0.75" header="0.3" footer="0.3"/>
  <pageSetup orientation="portrait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D15" sqref="D15"/>
    </sheetView>
  </sheetViews>
  <sheetFormatPr defaultRowHeight="15" x14ac:dyDescent="0.25"/>
  <cols>
    <col min="8" max="8" width="10.7109375" customWidth="1"/>
    <col min="17" max="17" width="13.5703125" customWidth="1"/>
  </cols>
  <sheetData>
    <row r="1" spans="1:21" x14ac:dyDescent="0.25">
      <c r="A1" s="7" t="s">
        <v>55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43.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5">
      <c r="A4" s="8" t="s">
        <v>56</v>
      </c>
      <c r="B4" s="8"/>
      <c r="D4" s="8" t="s">
        <v>57</v>
      </c>
      <c r="E4" s="8"/>
      <c r="G4" s="8" t="s">
        <v>58</v>
      </c>
      <c r="H4" s="8"/>
      <c r="J4" s="8" t="s">
        <v>59</v>
      </c>
      <c r="K4" s="8"/>
      <c r="M4" s="8" t="s">
        <v>60</v>
      </c>
      <c r="N4" s="8"/>
      <c r="P4" s="8" t="s">
        <v>61</v>
      </c>
      <c r="Q4" s="8"/>
    </row>
    <row r="5" spans="1:21" x14ac:dyDescent="0.25">
      <c r="A5" s="8">
        <f>COUNTA(placement!A2:A31)</f>
        <v>30</v>
      </c>
      <c r="B5" s="8"/>
      <c r="D5" s="8">
        <f>COUNTIF(placement!D2:D31,"yes")</f>
        <v>23</v>
      </c>
      <c r="E5" s="8"/>
      <c r="G5" s="8">
        <f>COUNTIF(placement!D2:D31,"no")</f>
        <v>7</v>
      </c>
      <c r="H5" s="8"/>
      <c r="J5" s="8">
        <f>AVERAGEIF(placement!E2:E31,"&gt;0")</f>
        <v>7.6999999999999984</v>
      </c>
      <c r="K5" s="8"/>
      <c r="M5" s="8">
        <f>MAX(placement!E2:E31)</f>
        <v>15</v>
      </c>
      <c r="N5" s="8"/>
      <c r="P5" s="8" t="str">
        <f>ROUND(COUNTIF(placement!D2:D31,"Yes")/COUNTA(placement!A2:A31)*100,2)&amp;"%"</f>
        <v>76.67%</v>
      </c>
      <c r="Q5" s="8"/>
    </row>
  </sheetData>
  <mergeCells count="13">
    <mergeCell ref="P5:Q5"/>
    <mergeCell ref="A5:B5"/>
    <mergeCell ref="D5:E5"/>
    <mergeCell ref="G5:H5"/>
    <mergeCell ref="J5:K5"/>
    <mergeCell ref="M5:N5"/>
    <mergeCell ref="A1:U3"/>
    <mergeCell ref="A4:B4"/>
    <mergeCell ref="D4:E4"/>
    <mergeCell ref="G4:H4"/>
    <mergeCell ref="J4:K4"/>
    <mergeCell ref="M4:N4"/>
    <mergeCell ref="P4:Q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placement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2026-04-11T10:54:40Z</dcterms:created>
  <dcterms:modified xsi:type="dcterms:W3CDTF">2026-04-12T17:38:09Z</dcterms:modified>
</cp:coreProperties>
</file>